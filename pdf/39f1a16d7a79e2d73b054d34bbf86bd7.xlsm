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theme/themeOverride2.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540" windowWidth="15600" windowHeight="7605" autoFilterDateGrouping="0"/>
  </bookViews>
  <sheets>
    <sheet name="LISTA DE VERIFICACION" sheetId="1" r:id="rId1"/>
    <sheet name="Recomendaciones" sheetId="4" state="hidden" r:id="rId2"/>
    <sheet name="CopiaLV" sheetId="5" state="hidden" r:id="rId3"/>
    <sheet name="Grafico" sheetId="9" state="hidden" r:id="rId4"/>
  </sheets>
  <functionGroups builtInGroupCount="17"/>
  <calcPr calcId="145621"/>
</workbook>
</file>

<file path=xl/calcChain.xml><?xml version="1.0" encoding="utf-8"?>
<calcChain xmlns="http://schemas.openxmlformats.org/spreadsheetml/2006/main">
  <c r="F49" i="1" l="1"/>
  <c r="F39" i="1"/>
  <c r="F36" i="1" l="1"/>
  <c r="F34" i="1"/>
  <c r="F31" i="1"/>
  <c r="F41" i="1" l="1"/>
  <c r="A13" i="5" l="1"/>
  <c r="A15" i="5" s="1"/>
  <c r="A16" i="5" s="1"/>
  <c r="A17" i="5" s="1"/>
  <c r="A18" i="5" s="1"/>
  <c r="A19" i="5" s="1"/>
  <c r="A20" i="5" s="1"/>
  <c r="A21" i="5" s="1"/>
  <c r="A23" i="5" s="1"/>
  <c r="A24" i="5" s="1"/>
  <c r="A25" i="5" s="1"/>
  <c r="A26" i="5" s="1"/>
  <c r="A28" i="5" s="1"/>
  <c r="A29" i="5" s="1"/>
  <c r="A30" i="5" s="1"/>
  <c r="A31" i="5" s="1"/>
  <c r="A32" i="5" s="1"/>
  <c r="A34" i="5" s="1"/>
  <c r="A35" i="5" s="1"/>
  <c r="A37" i="5" s="1"/>
  <c r="A38" i="5" s="1"/>
  <c r="A40" i="5" s="1"/>
  <c r="A42" i="5" s="1"/>
  <c r="A43" i="5" s="1"/>
  <c r="A44" i="5" s="1"/>
  <c r="A46" i="5" s="1"/>
  <c r="A47" i="5" s="1"/>
  <c r="A48" i="5" s="1"/>
  <c r="A49" i="5" s="1"/>
  <c r="A51" i="5" s="1"/>
  <c r="A52" i="5" s="1"/>
  <c r="A53" i="5" s="1"/>
  <c r="A54" i="5" s="1"/>
  <c r="L18" i="9"/>
  <c r="L16" i="9"/>
  <c r="K14" i="9"/>
  <c r="K18" i="9" s="1"/>
  <c r="J14" i="9"/>
  <c r="J18" i="9"/>
  <c r="I14" i="9"/>
  <c r="I18" i="9" s="1"/>
  <c r="I21" i="9" s="1"/>
  <c r="E14" i="9"/>
  <c r="D14" i="9"/>
  <c r="I20" i="9"/>
  <c r="C14" i="9"/>
  <c r="G14" i="9" s="1"/>
  <c r="L13" i="9"/>
  <c r="H13" i="9"/>
  <c r="H12" i="9"/>
  <c r="H11" i="9"/>
  <c r="G11" i="9"/>
  <c r="H10" i="9"/>
  <c r="G10" i="9" s="1"/>
  <c r="H9" i="9"/>
  <c r="G9" i="9"/>
  <c r="L8" i="9"/>
  <c r="H8" i="9"/>
  <c r="G8" i="9" s="1"/>
  <c r="L7" i="9"/>
  <c r="H7" i="9"/>
  <c r="G7" i="9" s="1"/>
  <c r="L6" i="9"/>
  <c r="H6" i="9"/>
  <c r="G6" i="9"/>
  <c r="L5" i="9"/>
  <c r="H5" i="9"/>
  <c r="G5" i="9"/>
  <c r="L4" i="9"/>
  <c r="H4" i="9"/>
  <c r="G4" i="9" s="1"/>
  <c r="L3" i="9"/>
  <c r="H3" i="9"/>
  <c r="G3" i="9" s="1"/>
  <c r="F53" i="1"/>
  <c r="F52" i="1"/>
  <c r="F51" i="1"/>
  <c r="F48" i="1"/>
  <c r="F47" i="1"/>
  <c r="F45" i="1"/>
  <c r="F44" i="1"/>
  <c r="F43" i="1"/>
  <c r="F42" i="1"/>
  <c r="F38" i="1"/>
  <c r="B36" i="1"/>
  <c r="B38" i="1" s="1"/>
  <c r="B39" i="1" s="1"/>
  <c r="B41" i="1" s="1"/>
  <c r="B42" i="1" s="1"/>
  <c r="B43" i="1" s="1"/>
  <c r="B44" i="1" s="1"/>
  <c r="F35" i="1"/>
  <c r="F33" i="1"/>
  <c r="F32" i="1"/>
  <c r="F30" i="1"/>
  <c r="L14" i="9"/>
  <c r="B45" i="1" l="1"/>
  <c r="B47" i="1" s="1"/>
  <c r="B48" i="1" s="1"/>
  <c r="B49" i="1" s="1"/>
  <c r="B51" i="1" s="1"/>
  <c r="B52" i="1" s="1"/>
  <c r="B53" i="1" s="1"/>
  <c r="H14" i="9"/>
</calcChain>
</file>

<file path=xl/sharedStrings.xml><?xml version="1.0" encoding="utf-8"?>
<sst xmlns="http://schemas.openxmlformats.org/spreadsheetml/2006/main" count="345" uniqueCount="218">
  <si>
    <t xml:space="preserve">Nombre Empresa: </t>
  </si>
  <si>
    <t xml:space="preserve">Rut: </t>
  </si>
  <si>
    <t xml:space="preserve">Fecha: </t>
  </si>
  <si>
    <t>Dirección</t>
  </si>
  <si>
    <t xml:space="preserve">Experto: </t>
  </si>
  <si>
    <t>OBJETIVO</t>
  </si>
  <si>
    <t>ALCANCE</t>
  </si>
  <si>
    <t>NC</t>
  </si>
  <si>
    <t>NO</t>
  </si>
  <si>
    <t>SI</t>
  </si>
  <si>
    <t>REQUISITOS</t>
  </si>
  <si>
    <t>SELECCIONE SU RESPUESTA EN EL RECUADRO "CUMPLE"</t>
  </si>
  <si>
    <t>A</t>
  </si>
  <si>
    <t>CAPACITACIÓN Y ACREDITACIÓN DEL PERSONAL</t>
  </si>
  <si>
    <t>ORIENTACIÓN / EVIDENCIA</t>
  </si>
  <si>
    <t>CUMPLE SI/NO</t>
  </si>
  <si>
    <t>RECOMENDACIÓN / ACCIÓN A SEGUIR</t>
  </si>
  <si>
    <t>B</t>
  </si>
  <si>
    <t>C</t>
  </si>
  <si>
    <t>cronograma</t>
  </si>
  <si>
    <t>D</t>
  </si>
  <si>
    <t>E</t>
  </si>
  <si>
    <t>PROTECCIÓN PERSONAL</t>
  </si>
  <si>
    <t>F</t>
  </si>
  <si>
    <t>G</t>
  </si>
  <si>
    <t>VIGILANCIA DE SALUD</t>
  </si>
  <si>
    <t>Hacer o actualizar nómina de trabajadores expuestos a plaguicidas.</t>
  </si>
  <si>
    <t>Preparación de Mezclas</t>
  </si>
  <si>
    <t>Habilitar un lugar exclusivo para preparar mezclas que sea bien iluminado, alejado de fuentes de agua y tenga su piso impermeable.</t>
  </si>
  <si>
    <t>Protección Personal</t>
  </si>
  <si>
    <t xml:space="preserve"> Aplicación Plaguicidas</t>
  </si>
  <si>
    <t>Hacer mantención periódica al equipo utilizado para aplicar los plaguicidas, manteniendo mangueras, boquillas, bombas, filtros, etc., en buen estado.</t>
  </si>
  <si>
    <t>Hacer procedimiento escrito que indique como se deben calibrar los equipos de aplicación de plaguicidas para obtener las dosis indicadas en la etiqueta</t>
  </si>
  <si>
    <t>Implementar duchas con agua fría y caliente según lo indicado en los decretos DS 157/2005 y DS 594/1999.</t>
  </si>
  <si>
    <t>Los trabajadores se deben bañar después de cada aplicación. Supervisar su cumplimiento e incluir este procedimiento en Reglamento Interno.</t>
  </si>
  <si>
    <t>La empresa deberá proporcionar a sus trabajadores aplicadores y manipuladores dos casilleros individuales, uno destinado a guardar la ropa de trabajo y otro la ropa de calle.</t>
  </si>
  <si>
    <t>Realizar el lavado de la ropa sucia e impedir que el trabajador la saque del lugar de trabajo.</t>
  </si>
  <si>
    <t>Gestión Ambiental</t>
  </si>
  <si>
    <t>H</t>
  </si>
  <si>
    <t>Presentar a la autoridad un programa de gestión de los residuos.</t>
  </si>
  <si>
    <t>Mitigación de Consecuencias</t>
  </si>
  <si>
    <t>Preparar personal en primeros auxilios para tratar intoxicación con plaguicidas.</t>
  </si>
  <si>
    <t>I</t>
  </si>
  <si>
    <t>Cámaras de Fumigación</t>
  </si>
  <si>
    <t>J</t>
  </si>
  <si>
    <t>Hermeticidad de la Cámara y Equipos</t>
  </si>
  <si>
    <t>Se recomienda reparar y sellar el enceramiento en los sectores que se observan en mal estado.</t>
  </si>
  <si>
    <t>Sistema de Aireación y Recirculación</t>
  </si>
  <si>
    <t>K</t>
  </si>
  <si>
    <t>Cambiar o modificar el trazado de ductos de la cámara de modo que durante la etapa de aireación su encerramiento trabaje en depresión.</t>
  </si>
  <si>
    <t>Total de Respuestas NO por Color</t>
  </si>
  <si>
    <t>Condiciones Verificadas</t>
  </si>
  <si>
    <t xml:space="preserve"> N° Resp. Si</t>
  </si>
  <si>
    <t>N° Resp. No</t>
  </si>
  <si>
    <t>N° Resp. NC</t>
  </si>
  <si>
    <t>Total</t>
  </si>
  <si>
    <t xml:space="preserve">  % Cumplimiento</t>
  </si>
  <si>
    <t xml:space="preserve"> Total sin NC</t>
  </si>
  <si>
    <t>LV ANATOMIA PATOLOGICA</t>
  </si>
  <si>
    <r>
      <rPr>
        <b/>
        <sz val="12"/>
        <rFont val="Calibri"/>
        <family val="2"/>
      </rPr>
      <t>A</t>
    </r>
    <r>
      <rPr>
        <b/>
        <sz val="10"/>
        <rFont val="Calibri"/>
        <family val="2"/>
      </rPr>
      <t>. Capacitación y Acreditación del Personal</t>
    </r>
  </si>
  <si>
    <r>
      <rPr>
        <b/>
        <sz val="12"/>
        <rFont val="Calibri"/>
        <family val="2"/>
      </rPr>
      <t>E</t>
    </r>
    <r>
      <rPr>
        <b/>
        <sz val="10"/>
        <rFont val="Calibri"/>
        <family val="2"/>
      </rPr>
      <t>. Protección Personal</t>
    </r>
  </si>
  <si>
    <t xml:space="preserve">  Total</t>
  </si>
  <si>
    <t xml:space="preserve">Total Preg / clas </t>
  </si>
  <si>
    <t>Total clas 1 y NC</t>
  </si>
  <si>
    <t>% Cumplimiento</t>
  </si>
  <si>
    <t>Alta</t>
  </si>
  <si>
    <t xml:space="preserve">Media </t>
  </si>
  <si>
    <t>Baja</t>
  </si>
  <si>
    <t>Total de resp. NO</t>
  </si>
  <si>
    <t>Evaluacion Riesgo</t>
  </si>
  <si>
    <r>
      <rPr>
        <b/>
        <sz val="12"/>
        <rFont val="Calibri"/>
        <family val="2"/>
      </rPr>
      <t>B</t>
    </r>
    <r>
      <rPr>
        <b/>
        <sz val="10"/>
        <rFont val="Calibri"/>
        <family val="2"/>
      </rPr>
      <t>.Preparación de Mezclas</t>
    </r>
  </si>
  <si>
    <r>
      <rPr>
        <b/>
        <sz val="12"/>
        <rFont val="Calibri"/>
        <family val="2"/>
      </rPr>
      <t>C</t>
    </r>
    <r>
      <rPr>
        <b/>
        <sz val="10"/>
        <rFont val="Calibri"/>
        <family val="2"/>
      </rPr>
      <t>.Protección Personal</t>
    </r>
  </si>
  <si>
    <r>
      <rPr>
        <b/>
        <sz val="12"/>
        <rFont val="Calibri"/>
        <family val="2"/>
      </rPr>
      <t>D</t>
    </r>
    <r>
      <rPr>
        <b/>
        <sz val="10"/>
        <rFont val="Calibri"/>
        <family val="2"/>
      </rPr>
      <t>. Aplicación Plaguicidas</t>
    </r>
  </si>
  <si>
    <r>
      <rPr>
        <b/>
        <sz val="12"/>
        <rFont val="Calibri"/>
        <family val="2"/>
      </rPr>
      <t>F</t>
    </r>
    <r>
      <rPr>
        <b/>
        <sz val="10"/>
        <rFont val="Calibri"/>
        <family val="2"/>
      </rPr>
      <t>. Gestión Ambiental</t>
    </r>
  </si>
  <si>
    <t xml:space="preserve"> 1 mes </t>
  </si>
  <si>
    <t xml:space="preserve"> 2 meses </t>
  </si>
  <si>
    <t xml:space="preserve"> 2 meses cronograma</t>
  </si>
  <si>
    <t>LISTA DE VERIFICACION</t>
  </si>
  <si>
    <r>
      <rPr>
        <b/>
        <sz val="12"/>
        <rFont val="Calibri"/>
        <family val="2"/>
      </rPr>
      <t>G</t>
    </r>
    <r>
      <rPr>
        <sz val="12"/>
        <rFont val="Calibri"/>
        <family val="2"/>
      </rPr>
      <t xml:space="preserve">. </t>
    </r>
    <r>
      <rPr>
        <b/>
        <sz val="10"/>
        <rFont val="Calibri"/>
        <family val="2"/>
      </rPr>
      <t>Mitigación de Consecuencias</t>
    </r>
  </si>
  <si>
    <r>
      <rPr>
        <b/>
        <sz val="12"/>
        <rFont val="Calibri"/>
        <family val="2"/>
      </rPr>
      <t>H</t>
    </r>
    <r>
      <rPr>
        <b/>
        <sz val="10"/>
        <rFont val="Calibri"/>
        <family val="2"/>
      </rPr>
      <t>. VIGILANCIA DE SALUD</t>
    </r>
  </si>
  <si>
    <r>
      <rPr>
        <b/>
        <sz val="12"/>
        <rFont val="Calibri"/>
        <family val="2"/>
      </rPr>
      <t>I</t>
    </r>
    <r>
      <rPr>
        <b/>
        <sz val="10"/>
        <rFont val="Calibri"/>
        <family val="2"/>
      </rPr>
      <t>. Cámaras de Fumigación</t>
    </r>
  </si>
  <si>
    <r>
      <rPr>
        <b/>
        <sz val="12"/>
        <rFont val="Calibri"/>
        <family val="2"/>
      </rPr>
      <t>J</t>
    </r>
    <r>
      <rPr>
        <b/>
        <sz val="10"/>
        <rFont val="Calibri"/>
        <family val="2"/>
      </rPr>
      <t>. Hermeticidad de la Cámara y Equipos</t>
    </r>
  </si>
  <si>
    <r>
      <rPr>
        <b/>
        <sz val="12"/>
        <rFont val="Calibri"/>
        <family val="2"/>
      </rPr>
      <t>K</t>
    </r>
    <r>
      <rPr>
        <b/>
        <sz val="10"/>
        <rFont val="Calibri"/>
        <family val="2"/>
      </rPr>
      <t>. Sistema de Aireación y Recirculación</t>
    </r>
  </si>
  <si>
    <t>Nombre Responsable Información:</t>
  </si>
  <si>
    <t>Solicitar capacitación sobre los riesgos de los plaguicidas a su organismo administrador o SAG.</t>
  </si>
  <si>
    <t>Hacer programa de capacitación del personal.</t>
  </si>
  <si>
    <t>Para la preparación de mezclas disponer de los utensilios necesarios marcándolos y destinando un lugar exclusivo para guardarlos.</t>
  </si>
  <si>
    <t>En el lugar donde se preparan mezclas habilitar un sistema de ventilación general, mecánico o natural, que cumpla con proporcionar al ambiente del orden de 6 cambios de aire.</t>
  </si>
  <si>
    <t>Solicitar a una empresa especializada en ventilación industrial el diseño de una cabina para preparar mezclas.</t>
  </si>
  <si>
    <t>Proporcionar a su costo, a los trabajadores que manipulen, preparen o apliquen plaguicidas,  ropa impermeable para protección de cuerpo y cabeza.</t>
  </si>
  <si>
    <t>Proporcionar a su costo, a los trabajadores que manipulen, preparen o apliquen plaguicidas,  lentes o pantalla facial que impidan la penetración de los plaguicidas hacia los ojos.</t>
  </si>
  <si>
    <t>Proporcionar a su costo, a los trabajadores que manipulen, preparen o apliquen plaguicidas, guantes de puño largo de goma, nitrilo, neoprén o látex.</t>
  </si>
  <si>
    <t>Proporcionar a su costo, a los trabajadores que manipulen, preparen o apliquen plaguicidas,  máscara y filtro químico  específico para el producto utilizado o sistema suministro de aire de calidad respirable.</t>
  </si>
  <si>
    <t>Revisar que los equipos de protección personal que adquiera tengan certificación de entidades autorizadas.</t>
  </si>
  <si>
    <t>Durante las fumigaciones instalar letreros que indiquen: Cuidado, aplicación de plaguicidas, con el signo de una calavera con dos tibias cruzadas, y agregar la fecha, hora, duración de la aplicación, periodo de reentrada cuando corresponda y un teléfono para consultas.</t>
  </si>
  <si>
    <t>Durante los periodos de aplicación instalar letreros que indiquen esta prohibición y agregar la fecha, hora, duración de la aplicación, periodo de reentrada cuando corresponda.</t>
  </si>
  <si>
    <t xml:space="preserve">Elaborar programa de equipos de protección personal que indique la forma en que se seleccionan, compran, mantienen y renuevan. Se puede utilizar como guía el Programa de Protección Respiratoria disponible en Gerencia Prevención ACHS. </t>
  </si>
  <si>
    <t>Lavar los envases vacíos según el siguiente procedimiento: a) Agregar agua hasta ¼ de la capacidad del envase, b) Cerrar el envase y agitar por 30 segundos, c) Verter el contenido del envase al estanque del equipo pulverizador; luego repetir los pasos anteriores por 3 veces</t>
  </si>
  <si>
    <t>Se deben hacer procedimientos de trabajo por escrito, que incluyan como se deben recoger los derrames. Estos deben estar a disposición de los operadores y en general de todo el personal involucrado en las tareas de fumigación</t>
  </si>
  <si>
    <t>Se debe disponer ducha para el lavado de ojos y cuerpo, para ser usadas en caso de contaminación del personal.</t>
  </si>
  <si>
    <t>Habilitar en la cámara de fumigación una luz visible para todo el personal que les indique cuando se está fumigando.</t>
  </si>
  <si>
    <t>Hacer ensayos de sellado, primero una prueba de sobrepresión de aire y luego una prueba con  gas trazador o el propio gas fumigante, para revisar con un detector  los contornos de puertas y lugares de posibles fugas.</t>
  </si>
  <si>
    <t>En la cámara de fumigación reparar burletes, afianzadores (tornillos de apriete), etc.</t>
  </si>
  <si>
    <t>Capacitar a los trabajadores que manipulen, preparen o apliquen plaguicidas, en el correcto uso de equipos de protección personal. Dejar registro escrito con firmas del personal capacitado.</t>
  </si>
  <si>
    <t>Hacer mantención periódica de sistema de inyección de fumigante reemplazando mangueras, reparando acoples, válvulas, etc.</t>
  </si>
  <si>
    <r>
      <t>Los encargados de supervisar, preparar y aplicar los plaguicidas están informados de los riesgos que éstos presentan.</t>
    </r>
    <r>
      <rPr>
        <sz val="16"/>
        <color rgb="FF808080"/>
        <rFont val="Calibri"/>
        <family val="2"/>
      </rPr>
      <t xml:space="preserve"> / D.S. 40, Art. 21. </t>
    </r>
  </si>
  <si>
    <r>
      <t>Los encargados de supervisar, preparar y aplicar los plaguicidas tienen cursos sobre el buen uso de éstos.</t>
    </r>
    <r>
      <rPr>
        <sz val="16"/>
        <color rgb="FF808080"/>
        <rFont val="Calibri"/>
        <family val="2"/>
      </rPr>
      <t xml:space="preserve"> / D.S. Nº 157 y D.S Nº 5 ambos del MINSAL y Resolución 2147/2002 del SAG</t>
    </r>
  </si>
  <si>
    <r>
      <t>El personal relacionado con el uso de plaguicidas tiene un programa de capacitación definido./</t>
    </r>
    <r>
      <rPr>
        <sz val="16"/>
        <color rgb="FF808080"/>
        <rFont val="Calibri"/>
        <family val="2"/>
      </rPr>
      <t>Protocolo Vigilancia Plaguicidas</t>
    </r>
  </si>
  <si>
    <r>
      <t>Las herramientas y utensilios como poruña, agitador, estanque, etc., están en buen estado y son de uso exclusivo./</t>
    </r>
    <r>
      <rPr>
        <sz val="16"/>
        <color rgb="FF808080"/>
        <rFont val="Calibri"/>
        <family val="2"/>
      </rPr>
      <t>D.S. Nº 594 y D.S. 157, Art. 87 (MINSAL)</t>
    </r>
  </si>
  <si>
    <r>
      <t>El lugar para preparar mezclas es de uso exclusivo, está   alejado de fuentes de agua, bien iluminado y piso impermeable./</t>
    </r>
    <r>
      <rPr>
        <sz val="16"/>
        <color rgb="FF808080"/>
        <rFont val="Calibri"/>
        <family val="2"/>
      </rPr>
      <t>D.S. Nº 594 y D.S. 157, Art. 87 (MINSAL)</t>
    </r>
  </si>
  <si>
    <r>
      <t>La preparación de la mezcla se realiza en cabina provista de extracción localizada./</t>
    </r>
    <r>
      <rPr>
        <sz val="16"/>
        <color rgb="FF808080"/>
        <rFont val="Calibri"/>
        <family val="2"/>
      </rPr>
      <t>DS N° 594/1999, Art. 33 (MINSAL)</t>
    </r>
  </si>
  <si>
    <r>
      <t>Tiene ropa impermeable para protección de cuerpo y cabeza, especialmente en el caso de aplicaciones./</t>
    </r>
    <r>
      <rPr>
        <sz val="16"/>
        <color rgb="FF808080"/>
        <rFont val="Calibri"/>
        <family val="2"/>
      </rPr>
      <t>D.S. 594, Art. 53, D.S. 157, Art. 90. (MINSAL)</t>
    </r>
  </si>
  <si>
    <r>
      <t xml:space="preserve"> Tiene lentes o pantalla facial que impidan la penetración de los plaguicidas hacia los ojos./</t>
    </r>
    <r>
      <rPr>
        <sz val="16"/>
        <color rgb="FF808080"/>
        <rFont val="Calibri"/>
        <family val="2"/>
      </rPr>
      <t>D.S. 594, Art. 53, D.S. 157, Art. 90. (MINSAL)</t>
    </r>
  </si>
  <si>
    <r>
      <t>Tiene guantes de puño largo de goma, nitrilo, neoprén o látex./</t>
    </r>
    <r>
      <rPr>
        <sz val="16"/>
        <color rgb="FF808080"/>
        <rFont val="Calibri"/>
        <family val="2"/>
      </rPr>
      <t>D.S. 594, Art. 53, D.S. 157, Art. 90. (MINSAL)</t>
    </r>
  </si>
  <si>
    <r>
      <t>Tiene máscara y filtro químico  específico para el producto utilizado o sistema suministro de aire de calidad respirable./</t>
    </r>
    <r>
      <rPr>
        <sz val="16"/>
        <color rgb="FF808080"/>
        <rFont val="Calibri"/>
        <family val="2"/>
      </rPr>
      <t>D.S. 594, Art. 53, D.S. 157, Art. 90. (MINSAL)</t>
    </r>
  </si>
  <si>
    <r>
      <t>Los trabajadores utilizan  los  elementos de protección personal y  han sido capacitados  en su correcto uso./</t>
    </r>
    <r>
      <rPr>
        <sz val="16"/>
        <color rgb="FF808080"/>
        <rFont val="Calibri"/>
        <family val="2"/>
      </rPr>
      <t>D.S. 594, Art. 53. (MINSAL)</t>
    </r>
  </si>
  <si>
    <r>
      <t>Los elementos de protección personal están en buen estado./</t>
    </r>
    <r>
      <rPr>
        <sz val="16"/>
        <color rgb="FF808080"/>
        <rFont val="Calibri"/>
        <family val="2"/>
      </rPr>
      <t>D.S. 594, Art. 53. (MINSAL)</t>
    </r>
  </si>
  <si>
    <r>
      <t xml:space="preserve">Se señalizan los deslindes del área a tratar con letreros o banderolas de  advertencia./ </t>
    </r>
    <r>
      <rPr>
        <sz val="16"/>
        <color rgb="FF808080"/>
        <rFont val="Calibri"/>
        <family val="2"/>
      </rPr>
      <t xml:space="preserve"> D.S Nº 5 y DS 594, Art. 37. </t>
    </r>
    <r>
      <rPr>
        <sz val="16"/>
        <color rgb="FF000000"/>
        <rFont val="Calibri"/>
        <family val="2"/>
      </rPr>
      <t>(MINSAL)</t>
    </r>
  </si>
  <si>
    <r>
      <t>Se señaliza la prohibición de presencia de personas sin elementos de protección personal durante los períodos de aplicación y de reingreso indicado en la etiqueta del producto./</t>
    </r>
    <r>
      <rPr>
        <sz val="16"/>
        <color rgb="FF808080"/>
        <rFont val="Calibri"/>
        <family val="2"/>
      </rPr>
      <t>D.S. 594, Art. 129. (MINSAL)</t>
    </r>
  </si>
  <si>
    <r>
      <t>Se mantiene el equipo de aplicación en buen estado./</t>
    </r>
    <r>
      <rPr>
        <sz val="16"/>
        <color rgb="FF808080"/>
        <rFont val="Calibri"/>
        <family val="2"/>
      </rPr>
      <t>Protocolo Vigilancia Plaguicidas</t>
    </r>
  </si>
  <si>
    <r>
      <t>Se calibran  los equipos de aplicación para tener la dosis de aplicación correcta./</t>
    </r>
    <r>
      <rPr>
        <sz val="16"/>
        <color rgb="FF808080"/>
        <rFont val="Calibri"/>
        <family val="2"/>
      </rPr>
      <t>Protocolo Vigilancia Plaguicidas</t>
    </r>
  </si>
  <si>
    <r>
      <t>Existen duchas con agua caliente y fría para el baño de los trabajadores  después de cada aplicación./</t>
    </r>
    <r>
      <rPr>
        <sz val="16"/>
        <color rgb="FF808080"/>
        <rFont val="Calibri"/>
        <family val="2"/>
      </rPr>
      <t>D.S. 594, Art. 21. (MINSAL)</t>
    </r>
  </si>
  <si>
    <r>
      <t>El trabajador se baña después de la aplicación./</t>
    </r>
    <r>
      <rPr>
        <sz val="16"/>
        <color rgb="FF808080"/>
        <rFont val="Calibri"/>
        <family val="2"/>
      </rPr>
      <t>Protocolo Vigilancia Plaguicidas</t>
    </r>
  </si>
  <si>
    <r>
      <t>Existen casilleros  individuales separados en zonas independientes  para guardar la ropa contaminada separada de la ropa de vestimenta habitual./</t>
    </r>
    <r>
      <rPr>
        <sz val="16"/>
        <color rgb="FF808080"/>
        <rFont val="Calibri"/>
        <family val="2"/>
      </rPr>
      <t>D.S. 594, Art. 27. (MINSAL) - D.S. 157, Art. 94.</t>
    </r>
  </si>
  <si>
    <r>
      <t>El empleador se hace cargo del lavado de la ropa de trabajo./</t>
    </r>
    <r>
      <rPr>
        <sz val="16"/>
        <color rgb="FF808080"/>
        <rFont val="Calibri"/>
        <family val="2"/>
      </rPr>
      <t>D.S. 594, Art. 27. (MINSAL)</t>
    </r>
  </si>
  <si>
    <r>
      <t>Los envases de productos plaguicidas son sometidos al procedimiento de triple lavado./</t>
    </r>
    <r>
      <rPr>
        <sz val="16"/>
        <color rgb="FF808080"/>
        <rFont val="Calibri"/>
        <family val="2"/>
      </rPr>
      <t>D.S. 148, Art. 24. (MINSAL) / D.S. 157, Art. 92 (MINSAL)</t>
    </r>
  </si>
  <si>
    <r>
      <t>Tiene programa de eliminación de residuos aprobado por la Autoridad Sanitaria./</t>
    </r>
    <r>
      <rPr>
        <sz val="16"/>
        <color rgb="FF808080"/>
        <rFont val="Calibri"/>
        <family val="2"/>
      </rPr>
      <t>Decreto N° 148/2003 (MINSAL)</t>
    </r>
  </si>
  <si>
    <r>
      <t>Tiene procedimiento para recoger derrames y disponer los residuos./</t>
    </r>
    <r>
      <rPr>
        <sz val="16"/>
        <color rgb="FF808080"/>
        <rFont val="Calibri"/>
        <family val="2"/>
      </rPr>
      <t>Decreto N° 148/2003 (MINSAL)</t>
    </r>
  </si>
  <si>
    <r>
      <t>Tiene personal preparado para administrar primeros auxilios en intoxicación por plaguicidas./</t>
    </r>
    <r>
      <rPr>
        <sz val="16"/>
        <color rgb="FF808080"/>
        <rFont val="Calibri"/>
        <family val="2"/>
      </rPr>
      <t>D.S. 157 (MINSAL) (Art. 97)</t>
    </r>
  </si>
  <si>
    <r>
      <t>Tiene duchas  de emergencia para lavado de los ojos y cuerpo completo./</t>
    </r>
    <r>
      <rPr>
        <sz val="16"/>
        <color rgb="FF808080"/>
        <rFont val="Calibri"/>
        <family val="2"/>
      </rPr>
      <t>Protocolo Vigilancia Plaguicidas</t>
    </r>
  </si>
  <si>
    <r>
      <t>Todos los trabajadores expuestos a productos plaguicidas están incorporados a Programa de Vigilancia de Salud./</t>
    </r>
    <r>
      <rPr>
        <sz val="16"/>
        <color rgb="FF808080"/>
        <rFont val="Calibri"/>
        <family val="2"/>
      </rPr>
      <t>Protocolo Vigilancia Plaguicidas</t>
    </r>
  </si>
  <si>
    <r>
      <t>Se informa a la SEREMI de Salud competente la aplicación de Bromuro de Metilo, Anhídrido Sulfuroso o Fosfina previo al inicio de la actividad en cada temporada./</t>
    </r>
    <r>
      <rPr>
        <sz val="16"/>
        <color rgb="FF808080"/>
        <rFont val="Calibri"/>
        <family val="2"/>
      </rPr>
      <t>D.S, Nº 594 y D.S. 157, Art. 87. (MINSAL)</t>
    </r>
  </si>
  <si>
    <r>
      <t>Tienen procedimientos de fumigación escritos y conocidos por el operador./</t>
    </r>
    <r>
      <rPr>
        <sz val="16"/>
        <color rgb="FF808080"/>
        <rFont val="Calibri"/>
        <family val="2"/>
      </rPr>
      <t>D.S. 157 (MINSAL)</t>
    </r>
  </si>
  <si>
    <r>
      <t>La cámara tiene una luz visible o sistema equivalente para advertir cuando se está fumigando./</t>
    </r>
    <r>
      <rPr>
        <sz val="16"/>
        <color rgb="FF808080"/>
        <rFont val="Calibri"/>
        <family val="2"/>
      </rPr>
      <t>DS N° 157/2005 (MINSAL)</t>
    </r>
  </si>
  <si>
    <r>
      <t>Se realizan pruebas de hermeticidad al inicio de la temporada./</t>
    </r>
    <r>
      <rPr>
        <sz val="16"/>
        <color rgb="FF808080"/>
        <rFont val="Calibri"/>
        <family val="2"/>
      </rPr>
      <t>Protocolo Vigilancia Plaguicidas</t>
    </r>
  </si>
  <si>
    <r>
      <t>El encerramiento de la cámara se observa en buen estado./</t>
    </r>
    <r>
      <rPr>
        <sz val="16"/>
        <color rgb="FF808080"/>
        <rFont val="Calibri"/>
        <family val="2"/>
      </rPr>
      <t>Protocolo Vigilancia Plaguicidas</t>
    </r>
  </si>
  <si>
    <r>
      <t>El sistema de inyección de gas se encuentra en buen estado./</t>
    </r>
    <r>
      <rPr>
        <sz val="16"/>
        <color rgb="FF808080"/>
        <rFont val="Calibri"/>
        <family val="2"/>
      </rPr>
      <t>Protocolo Vigilancia Plaguicidas</t>
    </r>
  </si>
  <si>
    <r>
      <t>La puerta tiene los elementos de cierre hermético en buen estado./</t>
    </r>
    <r>
      <rPr>
        <sz val="16"/>
        <color rgb="FF808080"/>
        <rFont val="Calibri"/>
        <family val="2"/>
      </rPr>
      <t>Protocolo Vigilancia Plaguicidas</t>
    </r>
  </si>
  <si>
    <r>
      <t>El sistema de aireación trabaja manteniendo la cámara en succión./</t>
    </r>
    <r>
      <rPr>
        <sz val="16"/>
        <color rgb="FF808080"/>
        <rFont val="Calibri"/>
        <family val="2"/>
      </rPr>
      <t>Protocolo Vigilancia Plaguicidas</t>
    </r>
  </si>
  <si>
    <r>
      <t>Los ductos se observan en buen estado./</t>
    </r>
    <r>
      <rPr>
        <sz val="16"/>
        <color rgb="FF808080"/>
        <rFont val="Calibri"/>
        <family val="2"/>
      </rPr>
      <t>Protocolo Vigilancia Plaguicidas</t>
    </r>
  </si>
  <si>
    <r>
      <t>La chimenea supera en más de 3 metros la altura de los techos de instalaciones circundantes./</t>
    </r>
    <r>
      <rPr>
        <sz val="16"/>
        <color rgb="FF808080"/>
        <rFont val="Calibri"/>
        <family val="2"/>
      </rPr>
      <t>Protocolo Vigilancia Plaguicidas</t>
    </r>
  </si>
  <si>
    <r>
      <t>Es adecuado el sistema de protección contra el agua lluvia./</t>
    </r>
    <r>
      <rPr>
        <sz val="16"/>
        <color rgb="FF808080"/>
        <rFont val="Calibri"/>
        <family val="2"/>
      </rPr>
      <t>Protocolo Vigilancia Plaguicidas</t>
    </r>
  </si>
  <si>
    <r>
      <t xml:space="preserve"> El lugar donde se preparan las mezcla tiene una buena ventilación general./</t>
    </r>
    <r>
      <rPr>
        <sz val="16"/>
        <color rgb="FF808080"/>
        <rFont val="Calibri"/>
        <family val="2"/>
      </rPr>
      <t>D.S. Nº 594 y D.S. 157, Art. 87 (MINSAL)</t>
    </r>
  </si>
  <si>
    <r>
      <t>Los elementos de protección personal cuenta con certificación de calidad./</t>
    </r>
    <r>
      <rPr>
        <sz val="16"/>
        <color rgb="FF808080"/>
        <rFont val="Calibri"/>
        <family val="2"/>
      </rPr>
      <t>D.S. 18 (MINSAL)</t>
    </r>
  </si>
  <si>
    <t>Capacitar al personal que supervisa, prepara y aplica plaguicidas en buenas prácticas y medidas de seguridad que se deben utilizar en estas tareas.</t>
  </si>
  <si>
    <t>Realizar  trámite de avisar a la Autoridad Sanitaria programa de fumigaciones.</t>
  </si>
  <si>
    <t>Se recomienda como protección contra la lluvia NO instalar sombrerete en chimenea de la cámara. Utilizar dispositivos alternativos que no obstruyan la libre salida del aire durante la aireación.</t>
  </si>
  <si>
    <t xml:space="preserve">                   PAUTA DE AUTO EVALUACIÓN</t>
  </si>
  <si>
    <t>EMPRESA</t>
  </si>
  <si>
    <t xml:space="preserve">Centro e Trabajo: </t>
  </si>
  <si>
    <t>Registro o acta con la constancia del nombramiento del equipo o encargado del protocolo indicando sus funciones.</t>
  </si>
  <si>
    <t>§  Duración de la aplicación (Horario)</t>
  </si>
  <si>
    <t>Verificar en documento escrito.</t>
  </si>
  <si>
    <t>IDENTIFICACIÓN Y CARACTERIZACION DEL RIESGO</t>
  </si>
  <si>
    <t>VIGILANCIA AMBIENTAL</t>
  </si>
  <si>
    <t>Registro de correspondencia enviada ACHS.</t>
  </si>
  <si>
    <t>Registro de examenes y listado actualizado de trabajadores en Programa de Vigilancia de Salud.</t>
  </si>
  <si>
    <t>CUMPLIMIENTO DE OBLIGACIONES DE LA EMPRESA EN PROTOCOLO DERMATITIS</t>
  </si>
  <si>
    <t>CÓDIGO:</t>
  </si>
  <si>
    <t>Verificar que la empresa (Centro de Trabajo) cumple con las exigencias del Protocolo de Vigilancia Epidemiológica de  Trabajadores Expuestos a Agentes que Causan Dermatitis</t>
  </si>
  <si>
    <t xml:space="preserve">Esta lista se aplica a todas las empresas o centros de trabajo asociadas a la ACHS que en sus procesos tienen trabajadores expuestos a agentes que pueden causar dermatitis. </t>
  </si>
  <si>
    <t xml:space="preserve">Nombrar un equipo o persona encargada del protocolo, con las siguiente funciones principales: Liderar las tareas de identificación y caracterización del riesgo, verificar que se mantenga actualizada y disponible la documentación fiscalizable asociada al protocolo y controlar y gestionar todas las etapas necesarias para el cumplimiento del protocolo.
</t>
  </si>
  <si>
    <t>Se debe hacer un inventario de todas las sustancias, químicas, biológicas o vegetales, que puedan causar dermatitis y revisar los procesos, tareas y actividades en las cuales el personal tiene contacto con éstas y por lo tanto podría tener una exposición que requiere la vigilancia de su salud y del ambiente de trabajo.</t>
  </si>
  <si>
    <t>Se ha informado a los trabajadores del riesgo, medidas control y métodos correctos de trabajo.</t>
  </si>
  <si>
    <t>Registro de capacitación con firmas de los trabajadores capacitados.</t>
  </si>
  <si>
    <t xml:space="preserve">Realizar capacitación sobre riesgos de las sustancias irritantes y sensibilizantes, medidas de control y métodos de trabajo correcto.
</t>
  </si>
  <si>
    <t>Se tiene identificado él o los agentes que pueden causar dermatitis a los trabajadores.</t>
  </si>
  <si>
    <t>Tiene actualizada la existencia de sustancias irritantes o sensibilizantes.</t>
  </si>
  <si>
    <t xml:space="preserve">Es necesario registrar, en medio digital o papel, al menos la siguiente
información: Nombre comercial o común de la sustancia, nombre químico si corresponde, estado físico en el cual se utiliza, material o producto en el cual está contenida la sustancia y clasificación de peligro según frase R si corresponde.
</t>
  </si>
  <si>
    <t>Documento digital o de papel con inventario de sustancias irritantes o sensibilizantes actualizado.</t>
  </si>
  <si>
    <t>Tiene identificado los puestos de trabajo con exposición a sustancias irritantes o sensibilizantes.</t>
  </si>
  <si>
    <t xml:space="preserve"> Tiene disponible el listado de trabajadores expuestos a sustancias irritantes o sensibilizantes.</t>
  </si>
  <si>
    <t xml:space="preserve">Como parte de la vigilancia ambiental se debe tener por escrito un listado de trabajadores expuestos con los siguientes datos:Nombres y apellidos del trabajador, RUT, Fecha Nacimiento, Puestos de Trabajo, Antigüedad en el puesto de trabajo (meses/años), sustancias irritantes o sensibilizantes que utiliza.
Este listado debe estar disponible para la Autoridad Sanitaria y la ACHS.
</t>
  </si>
  <si>
    <t>Los elementos de protección personal deben ser los indicados en la hoja de datos de seguridad. Deben tener certificación.</t>
  </si>
  <si>
    <t>ORGANIZACIÓN Y CAPACITACIÓN</t>
  </si>
  <si>
    <t xml:space="preserve">Registro escrito que incluya los roles y resposabilidades de los estamentos indicados.
</t>
  </si>
  <si>
    <t xml:space="preserve">Registro escrito del curso que incluya: Relator, fecha, duración, lista de asistentes firmada, contenidos y evaluación del curso por parte de los participantes.
</t>
  </si>
  <si>
    <t>El personal que participa del equipo de salud ocupacional, los  profesionales y trabajadores relacionados con el uso de sustancias que
pueden causar dermatitis han sido capacitados en en los riesgos de la exposición a éstos, los aspectos normativos de la vigilancia de la salud y el ambiente de trabajo y los requerimientos para su implementación en la empresa.</t>
  </si>
  <si>
    <t>{</t>
  </si>
  <si>
    <t>Se han definido los roles y reponsabilidades de los distintos estamentos de la empresa que estan relacionados con la vigilancia de los trabajadores expuestos a sustancias irritantes o sensibilizantes.</t>
  </si>
  <si>
    <t>Se ha realizado una evaluación  del riesgo de exposición a sustancias que pueden
producir dermatitis.</t>
  </si>
  <si>
    <t>Informe de la evaluación realizada, en archivo digital o papel.</t>
  </si>
  <si>
    <t>Solicitar a ACHS la realización de la evaluación cualitativa.</t>
  </si>
  <si>
    <t>Tiene implementadas todas las prescripciones que se indican en el infome de evaluación del riesgo.</t>
  </si>
  <si>
    <t>Conjunto de evidencias que se indican en informe.</t>
  </si>
  <si>
    <t>Hacer plan de acción para dar llevar a cabo todas las exigencias pendientes.</t>
  </si>
  <si>
    <r>
      <t>Tiene actualizada la evaluación de vigilancia ambiental realizada por ACHS, de acuerdo con el nivel de riesgo encontrado</t>
    </r>
    <r>
      <rPr>
        <sz val="16"/>
        <color rgb="FF808080"/>
        <rFont val="Calibri"/>
        <family val="2"/>
      </rPr>
      <t>.</t>
    </r>
  </si>
  <si>
    <t xml:space="preserve">Una vez que se hayan implementado todas las prescriciones  indicadas en inform de evaluación de riesgo, se debe solicitar una nueva evaluación (control de cumplimiento)  al Experto ACHS asignado al centro de trabajo. </t>
  </si>
  <si>
    <t>Documento de recepción de lista de trabajadores expuestos a sustancias irritantes y/o sensibikizantes.</t>
  </si>
  <si>
    <t>Enviar a ACHS listado de trabajadores exuestos a sustancias irritantes y sensibilizantes  con los siguientes datos:Nombres y apellidos del trabajador, RUT, Fecha Nacimiento, Puestos de Trabajo, Antigüedad en el puesto de trabajo (meses/años),  sustancias que utiliza.</t>
  </si>
  <si>
    <r>
      <t>Entregó lista atualizada de trabajadores expuestos  sustancias irritantes y sensibilizantes a ACHS</t>
    </r>
    <r>
      <rPr>
        <sz val="16"/>
        <color theme="0" tint="-0.34998626667073579"/>
        <rFont val="Calibri"/>
        <family val="2"/>
      </rPr>
      <t>.</t>
    </r>
  </si>
  <si>
    <t>Informar a ACHS cambio de  productos químicos o sustancias que forman parte del inventario de agentes que pueden causar dermatitis.</t>
  </si>
  <si>
    <t xml:space="preserve">Es obligación de la empresa informar a ACHS en el caso de cambios en los  productos químicos o sustancias que forman parte del inventario de agentes que pueden causar dermatitis.. </t>
  </si>
  <si>
    <t>CASOS SOSPECHOSOS DE DERMATITIS OCUPACIONAL</t>
  </si>
  <si>
    <t xml:space="preserve">Tiene un procedimiento para actuar frente a un nuevo caso de dermatitis.
</t>
  </si>
  <si>
    <r>
      <t>Investiga las circunstancias en que se han presentado los casos de dermatitis, a través de su Departamento de Prevención de Riesgos, su CPHS o su Encargado de Protocolo, según corresponda</t>
    </r>
    <r>
      <rPr>
        <sz val="16"/>
        <color theme="0" tint="-0.499984740745262"/>
        <rFont val="Calibri"/>
        <family val="2"/>
      </rPr>
      <t>.</t>
    </r>
    <r>
      <rPr>
        <sz val="16"/>
        <color rgb="FF000000"/>
        <rFont val="Calibri"/>
        <family val="2"/>
      </rPr>
      <t xml:space="preserve">
</t>
    </r>
  </si>
  <si>
    <t>Procedimiento de investigación de casos de dermatitis.</t>
  </si>
  <si>
    <t>Realizar investigación de las circuntancias en las que se ha presentado el caso de dermatitis.</t>
  </si>
  <si>
    <t>Procedimiento escrito.</t>
  </si>
  <si>
    <t>Mantiene un registro actualizado de todas las resoluciones de casos de dermatitis de sus trabajadores.</t>
  </si>
  <si>
    <t>Carpeta digital o en papel con los antecedentes de los casos de dermatitis que han afectado al personal.</t>
  </si>
  <si>
    <t xml:space="preserve">Mantiene a los trabajadores del GES del trabajador con caso de dermatitis acogido en Programa de Vigilacncia de Salud ACHS.
</t>
  </si>
  <si>
    <t xml:space="preserve">Otorgar los permisos necesarios para que el trabajador se presente a los exámenes que requiere la ACHS
</t>
  </si>
  <si>
    <t>Registro de informes ACHS.</t>
  </si>
  <si>
    <t>Mantiene actualizados los examenes de trabajadores que están en programa de vigilancia de salud.</t>
  </si>
  <si>
    <t>qu</t>
  </si>
  <si>
    <t>Controlar que se cumpla la periodicidad de los examenes que se debe realizar a los trabajadores en vigilancia de acuerdo a lo que se indica en informe de evaluación del riesgo.</t>
  </si>
  <si>
    <t>El encargado del personal y/o jefe del proceso donde se desempeña el trabajador debería ser el que autorice u otorgue los permisos y el encargado de salud ocupacional quien lleve un registro de los exámenes realizados.</t>
  </si>
  <si>
    <t>Registro de permisos para toma de examenes.</t>
  </si>
  <si>
    <r>
      <t>Tiene un equipo o persona encargada de liderar la aplicación del protocolo de "Vigilancia de trabajadores expuestos a agentes que pueden causar dermatitis"</t>
    </r>
    <r>
      <rPr>
        <sz val="16"/>
        <color rgb="FF808080"/>
        <rFont val="Calibri"/>
        <family val="2"/>
      </rPr>
      <t>.</t>
    </r>
  </si>
  <si>
    <t>Fichas técnicas de los agentes donde se indique el carácter irritante o sensibilizante de la sustancia utilizada.</t>
  </si>
  <si>
    <t>Como parte de la vigilancia ambiental se deben identificar los puestos de trabajo con exposición a sustancias irritantes o sensibilizantes. Es necesario tener registrado: Tarea o puestos de trabajo, sustancia utilizada,  duración de la exposición, horas/día, frecuencia de la exposición días/semana/mes/año y superficie expuesta. Dejar está información en documento escrito.</t>
  </si>
  <si>
    <t>Tiene un registro con las características y especificaciones de los equipos de protección personal utilizados por los trabajadores.</t>
  </si>
  <si>
    <t xml:space="preserve">Se deben definir los roles y reponsabilidades a lo menos de:Dirección de la empresa, Depto. de Prevención de Riesgos, Equipo o Encargado de Salud Ocupacional, Comité Paritario y Trabajadores. 
</t>
  </si>
  <si>
    <t xml:space="preserve">Se recomienda hacer capacitaciones al personal que se expone a sustancias irritantes y sensibilizantes en los siguientes temas: Organización para implementar la vigilancia, antecedentes generales de la dermatitis: Qué es, como se clasifica y efectos en la salud. Trabajador expuesto, trabajos con exposición y factores que influyen en la exposición. Obligaciones de las Empresas. Obligaciones de los Organismos Administradores de la Ley. Vigilancia ambiental y Vigilancia de salud.
</t>
  </si>
  <si>
    <t>Hacer un procedimieto escrito para actuar frente a un caso de dermatitis, el cual debe contemplar las siguientes materias: Concurrencia a centro de salud ACHS, llenado de formulario de declaración de enfermedad profesional, investigación de causas de la dermatitis, etc.</t>
  </si>
  <si>
    <t>Mantener un archivo con los casos de dermatitis que hayan afectado al personal incluyendo: Datos personales de los afectados, estudios de puestos de trabajo, resolusiones, informes de investigación, informes de evaluaciones, etc.</t>
  </si>
  <si>
    <t>Incorporar a programa de vigilancia de salud a los trabajadores que forman parte del Grupo de Exposición Similar (GES) al del trabajador cuya dermatitis fue acogida como laboral, si el informe de evaluación cualitativa realizado por ACHS así lo indica.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</si>
</sst>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C0A]d\-mmm\-yy;@"/>
  </numFmts>
  <fonts count="29" x14ac:knownFonts="1">
    <font>
      <sz val="12"/>
      <color theme="1"/>
      <name val="Calibri"/>
      <family val="2"/>
      <scheme val="minor"/>
    </font>
    <font>
      <b/>
      <sz val="16"/>
      <color rgb="FF008000"/>
      <name val="Calibri"/>
      <family val="2"/>
    </font>
    <font>
      <sz val="10"/>
      <name val="Arial"/>
      <family val="2"/>
    </font>
    <font>
      <sz val="12"/>
      <color theme="1"/>
      <name val="Calibri"/>
      <family val="2"/>
      <scheme val="minor"/>
    </font>
    <font>
      <b/>
      <sz val="10"/>
      <name val="Calibri"/>
      <family val="2"/>
    </font>
    <font>
      <b/>
      <sz val="12"/>
      <name val="Calibri"/>
      <family val="2"/>
    </font>
    <font>
      <sz val="12"/>
      <name val="Calibri"/>
      <family val="2"/>
    </font>
    <font>
      <b/>
      <sz val="10"/>
      <name val="Arial"/>
      <family val="2"/>
    </font>
    <font>
      <sz val="12"/>
      <color theme="1"/>
      <name val="Calibri"/>
      <family val="2"/>
    </font>
    <font>
      <sz val="26"/>
      <color rgb="FF008000"/>
      <name val="Calibri"/>
      <family val="2"/>
    </font>
    <font>
      <sz val="40"/>
      <color rgb="FF008000"/>
      <name val="Calibri"/>
      <family val="2"/>
    </font>
    <font>
      <b/>
      <sz val="22"/>
      <color rgb="FFFFFFFF"/>
      <name val="Calibri"/>
      <family val="2"/>
    </font>
    <font>
      <b/>
      <sz val="16"/>
      <color rgb="FF000000"/>
      <name val="Calibri"/>
      <family val="2"/>
    </font>
    <font>
      <sz val="16"/>
      <color rgb="FF000000"/>
      <name val="Calibri"/>
      <family val="2"/>
    </font>
    <font>
      <sz val="12"/>
      <color rgb="FFFFFFFF"/>
      <name val="Calibri"/>
      <family val="2"/>
    </font>
    <font>
      <b/>
      <sz val="16"/>
      <color rgb="FFFFFFFF"/>
      <name val="Calibri"/>
      <family val="2"/>
    </font>
    <font>
      <b/>
      <sz val="20"/>
      <color rgb="FFFFFFFF"/>
      <name val="Calibri"/>
      <family val="2"/>
    </font>
    <font>
      <b/>
      <sz val="14"/>
      <color rgb="FFFFFFFF"/>
      <name val="Calibri"/>
      <family val="2"/>
    </font>
    <font>
      <sz val="20"/>
      <color rgb="FF008000"/>
      <name val="Calibri"/>
      <family val="2"/>
    </font>
    <font>
      <sz val="16"/>
      <color rgb="FF808080"/>
      <name val="Calibri"/>
      <family val="2"/>
    </font>
    <font>
      <sz val="16"/>
      <color rgb="FFFFFFFF"/>
      <name val="Calibri"/>
      <family val="2"/>
    </font>
    <font>
      <sz val="16"/>
      <name val="Calibri"/>
      <family val="2"/>
    </font>
    <font>
      <sz val="10"/>
      <color rgb="FFFFFFFF"/>
      <name val="Arial"/>
      <family val="2"/>
    </font>
    <font>
      <sz val="16"/>
      <color theme="0" tint="-0.34998626667073579"/>
      <name val="Calibri"/>
      <family val="2"/>
    </font>
    <font>
      <sz val="10"/>
      <color theme="0"/>
      <name val="Calibri"/>
      <family val="2"/>
    </font>
    <font>
      <sz val="10"/>
      <color theme="1"/>
      <name val="Calibri"/>
      <family val="2"/>
      <scheme val="minor"/>
    </font>
    <font>
      <sz val="10"/>
      <color rgb="FF0A7E3F"/>
      <name val="Wingdings"/>
      <charset val="2"/>
    </font>
    <font>
      <sz val="10"/>
      <color theme="0"/>
      <name val="Calibri"/>
      <family val="2"/>
      <scheme val="minor"/>
    </font>
    <font>
      <sz val="16"/>
      <color theme="0" tint="-0.499984740745262"/>
      <name val="Calibri"/>
      <family val="2"/>
    </font>
  </fonts>
  <fills count="17">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rgb="FFFF6600"/>
        <bgColor rgb="FF000000"/>
      </patternFill>
    </fill>
    <fill>
      <patternFill patternType="solid">
        <fgColor rgb="FFD9D9D9"/>
        <bgColor rgb="FF000000"/>
      </patternFill>
    </fill>
    <fill>
      <patternFill patternType="solid">
        <fgColor rgb="FF808080"/>
        <bgColor rgb="FF000000"/>
      </patternFill>
    </fill>
    <fill>
      <patternFill patternType="solid">
        <fgColor rgb="FF008000"/>
        <bgColor rgb="FF000000"/>
      </patternFill>
    </fill>
    <fill>
      <patternFill patternType="solid">
        <fgColor rgb="FFFFFFFF"/>
        <bgColor rgb="FF000000"/>
      </patternFill>
    </fill>
    <fill>
      <patternFill patternType="solid">
        <fgColor rgb="FF99CC00"/>
        <bgColor rgb="FF000000"/>
      </patternFill>
    </fill>
    <fill>
      <patternFill patternType="solid">
        <fgColor rgb="FFFF0000"/>
        <bgColor rgb="FF000000"/>
      </patternFill>
    </fill>
    <fill>
      <patternFill patternType="solid">
        <fgColor rgb="FFFFFF00"/>
        <bgColor rgb="FF000000"/>
      </patternFill>
    </fill>
    <fill>
      <patternFill patternType="solid">
        <fgColor rgb="FF82B056"/>
        <bgColor rgb="FF000000"/>
      </patternFill>
    </fill>
    <fill>
      <patternFill patternType="solid">
        <fgColor theme="3" tint="0.39994506668294322"/>
        <bgColor rgb="FF000000"/>
      </patternFill>
    </fill>
    <fill>
      <patternFill patternType="solid">
        <fgColor theme="0"/>
        <bgColor rgb="FF000000"/>
      </patternFill>
    </fill>
    <fill>
      <patternFill patternType="solid">
        <fgColor theme="0"/>
        <bgColor indexed="64"/>
      </patternFill>
    </fill>
    <fill>
      <patternFill patternType="solid">
        <fgColor theme="0" tint="-0.14999847407452621"/>
        <bgColor rgb="FF000000"/>
      </patternFill>
    </fill>
  </fills>
  <borders count="23">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hair">
        <color rgb="FF008000"/>
      </left>
      <right/>
      <top style="hair">
        <color rgb="FF008000"/>
      </top>
      <bottom style="hair">
        <color rgb="FF008000"/>
      </bottom>
      <diagonal/>
    </border>
    <border>
      <left/>
      <right/>
      <top style="hair">
        <color rgb="FF008000"/>
      </top>
      <bottom style="hair">
        <color rgb="FF008000"/>
      </bottom>
      <diagonal/>
    </border>
    <border>
      <left/>
      <right style="hair">
        <color rgb="FF008000"/>
      </right>
      <top style="hair">
        <color rgb="FF008000"/>
      </top>
      <bottom style="hair">
        <color rgb="FF008000"/>
      </bottom>
      <diagonal/>
    </border>
    <border>
      <left style="thin">
        <color auto="1"/>
      </left>
      <right/>
      <top style="medium">
        <color auto="1"/>
      </top>
      <bottom/>
      <diagonal/>
    </border>
    <border>
      <left/>
      <right style="thin">
        <color auto="1"/>
      </right>
      <top style="medium">
        <color auto="1"/>
      </top>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top style="thick">
        <color indexed="64"/>
      </top>
      <bottom/>
      <diagonal/>
    </border>
    <border>
      <left style="thick">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 fillId="0" borderId="0"/>
    <xf numFmtId="0" fontId="2" fillId="0" borderId="0"/>
    <xf numFmtId="9" fontId="3" fillId="0" borderId="0" applyFont="0" applyFill="0" applyBorder="0" applyAlignment="0" applyProtection="0"/>
  </cellStyleXfs>
  <cellXfs count="124">
    <xf numFmtId="0" fontId="0" fillId="0" borderId="0" xfId="0"/>
    <xf numFmtId="0" fontId="2" fillId="0" borderId="14" xfId="0" applyFont="1" applyFill="1" applyBorder="1"/>
    <xf numFmtId="0" fontId="0" fillId="2" borderId="0" xfId="0" applyFill="1"/>
    <xf numFmtId="0" fontId="0" fillId="3" borderId="0" xfId="0" applyFill="1"/>
    <xf numFmtId="0" fontId="8" fillId="0" borderId="0" xfId="0" applyFont="1" applyFill="1" applyBorder="1"/>
    <xf numFmtId="0" fontId="9" fillId="0" borderId="0" xfId="0" applyFont="1" applyFill="1" applyBorder="1" applyAlignment="1"/>
    <xf numFmtId="0" fontId="8" fillId="0" borderId="4" xfId="0" applyFont="1" applyFill="1" applyBorder="1" applyAlignment="1">
      <alignment horizontal="left" indent="1"/>
    </xf>
    <xf numFmtId="0" fontId="8" fillId="0" borderId="0" xfId="0" applyFont="1" applyFill="1" applyBorder="1" applyAlignment="1">
      <alignment horizontal="left" indent="1"/>
    </xf>
    <xf numFmtId="0" fontId="8" fillId="0" borderId="5" xfId="0" applyFont="1" applyFill="1" applyBorder="1"/>
    <xf numFmtId="0" fontId="8" fillId="0" borderId="4" xfId="0" applyFont="1" applyFill="1" applyBorder="1"/>
    <xf numFmtId="0" fontId="1" fillId="0" borderId="0" xfId="0" applyFont="1" applyFill="1" applyBorder="1" applyAlignment="1">
      <alignment horizontal="left"/>
    </xf>
    <xf numFmtId="0" fontId="13" fillId="0" borderId="0" xfId="0" applyFont="1" applyFill="1" applyBorder="1" applyAlignment="1"/>
    <xf numFmtId="0" fontId="13" fillId="0" borderId="0" xfId="0" applyFont="1" applyFill="1" applyBorder="1"/>
    <xf numFmtId="0" fontId="13" fillId="0" borderId="0" xfId="0" applyFont="1" applyFill="1" applyBorder="1" applyAlignment="1">
      <alignment horizontal="left"/>
    </xf>
    <xf numFmtId="0" fontId="14" fillId="0" borderId="0" xfId="0" applyFont="1" applyFill="1" applyBorder="1"/>
    <xf numFmtId="0" fontId="8" fillId="0" borderId="6" xfId="0" applyFont="1" applyFill="1" applyBorder="1"/>
    <xf numFmtId="0" fontId="8" fillId="0" borderId="7" xfId="0" applyFont="1" applyFill="1" applyBorder="1"/>
    <xf numFmtId="0" fontId="8" fillId="0" borderId="8" xfId="0" applyFont="1" applyFill="1" applyBorder="1"/>
    <xf numFmtId="0" fontId="15" fillId="0" borderId="0" xfId="0" applyFont="1" applyFill="1" applyBorder="1"/>
    <xf numFmtId="0" fontId="8" fillId="0" borderId="9" xfId="0" applyFont="1" applyFill="1" applyBorder="1"/>
    <xf numFmtId="0" fontId="8" fillId="0" borderId="10" xfId="0" applyFont="1" applyFill="1" applyBorder="1"/>
    <xf numFmtId="0" fontId="13" fillId="0" borderId="10" xfId="0" applyFont="1" applyFill="1" applyBorder="1" applyAlignment="1">
      <alignment horizontal="center" vertical="center"/>
    </xf>
    <xf numFmtId="0" fontId="13" fillId="0" borderId="11" xfId="0" applyFont="1" applyFill="1" applyBorder="1" applyAlignment="1">
      <alignment horizontal="left" vertical="center" indent="2"/>
    </xf>
    <xf numFmtId="0" fontId="16" fillId="7" borderId="20" xfId="0" applyFont="1" applyFill="1" applyBorder="1" applyAlignment="1">
      <alignment horizontal="center" vertical="center"/>
    </xf>
    <xf numFmtId="0" fontId="12" fillId="5" borderId="20" xfId="0" applyFont="1" applyFill="1" applyBorder="1" applyAlignment="1">
      <alignment horizontal="center" vertical="center" wrapText="1"/>
    </xf>
    <xf numFmtId="0" fontId="17" fillId="6" borderId="20" xfId="0" applyFont="1" applyFill="1" applyBorder="1" applyAlignment="1">
      <alignment horizontal="center" vertical="center" wrapText="1"/>
    </xf>
    <xf numFmtId="0" fontId="18" fillId="0" borderId="20" xfId="0" applyFont="1" applyFill="1" applyBorder="1" applyAlignment="1">
      <alignment horizontal="center" vertical="top" wrapText="1"/>
    </xf>
    <xf numFmtId="0" fontId="13" fillId="0" borderId="20" xfId="0" applyFont="1" applyFill="1" applyBorder="1" applyAlignment="1">
      <alignment horizontal="left" vertical="top" wrapText="1"/>
    </xf>
    <xf numFmtId="0" fontId="15" fillId="4" borderId="20" xfId="0" applyFont="1" applyFill="1" applyBorder="1" applyAlignment="1">
      <alignment horizontal="center" vertical="center" wrapText="1"/>
    </xf>
    <xf numFmtId="0" fontId="14" fillId="0" borderId="0" xfId="0" applyFont="1" applyFill="1" applyBorder="1" applyAlignment="1">
      <alignment wrapText="1"/>
    </xf>
    <xf numFmtId="0" fontId="20" fillId="0" borderId="0" xfId="0" applyFont="1" applyFill="1" applyBorder="1" applyAlignment="1">
      <alignment horizontal="center" vertical="top" wrapText="1"/>
    </xf>
    <xf numFmtId="0" fontId="8" fillId="0" borderId="0" xfId="0" applyFont="1" applyFill="1" applyBorder="1" applyAlignment="1">
      <alignment wrapText="1"/>
    </xf>
    <xf numFmtId="0" fontId="14" fillId="0" borderId="0" xfId="0" applyFont="1" applyFill="1" applyBorder="1" applyAlignment="1"/>
    <xf numFmtId="0" fontId="20" fillId="0" borderId="0" xfId="0" applyFont="1" applyFill="1" applyBorder="1" applyAlignment="1">
      <alignment horizontal="center" vertical="top"/>
    </xf>
    <xf numFmtId="0" fontId="21" fillId="0" borderId="20" xfId="0" applyFont="1" applyFill="1" applyBorder="1" applyAlignment="1">
      <alignment horizontal="left" vertical="center" wrapText="1"/>
    </xf>
    <xf numFmtId="0" fontId="21" fillId="0" borderId="20" xfId="0" applyFont="1" applyFill="1" applyBorder="1" applyAlignment="1">
      <alignment horizontal="left" vertical="top" wrapText="1"/>
    </xf>
    <xf numFmtId="0" fontId="14" fillId="0" borderId="0" xfId="0" applyFont="1" applyFill="1" applyBorder="1" applyAlignment="1">
      <alignment horizontal="center" vertical="top" wrapText="1"/>
    </xf>
    <xf numFmtId="0" fontId="14" fillId="0" borderId="0" xfId="0" applyFont="1" applyFill="1" applyBorder="1" applyAlignment="1">
      <alignment horizontal="center" vertical="top"/>
    </xf>
    <xf numFmtId="0" fontId="21" fillId="8" borderId="20" xfId="0" applyFont="1" applyFill="1" applyBorder="1" applyAlignment="1">
      <alignment horizontal="left" vertical="top" wrapText="1"/>
    </xf>
    <xf numFmtId="0" fontId="21" fillId="8" borderId="20" xfId="0" applyFont="1" applyFill="1" applyBorder="1" applyAlignment="1">
      <alignment horizontal="left" vertical="center" wrapText="1"/>
    </xf>
    <xf numFmtId="0" fontId="21" fillId="8" borderId="20" xfId="0" applyFont="1" applyFill="1" applyBorder="1" applyAlignment="1">
      <alignment horizontal="justify" vertical="center" wrapText="1"/>
    </xf>
    <xf numFmtId="0" fontId="21" fillId="0" borderId="20" xfId="0" applyFont="1" applyFill="1" applyBorder="1" applyAlignment="1">
      <alignment horizontal="justify" vertical="center" wrapText="1"/>
    </xf>
    <xf numFmtId="0" fontId="13" fillId="0" borderId="0" xfId="0" applyFont="1" applyFill="1" applyBorder="1" applyAlignment="1">
      <alignment horizontal="left" vertical="top" wrapText="1"/>
    </xf>
    <xf numFmtId="0" fontId="2" fillId="9" borderId="14" xfId="0" applyFont="1" applyFill="1" applyBorder="1"/>
    <xf numFmtId="0" fontId="2" fillId="9" borderId="14" xfId="0" applyFont="1" applyFill="1" applyBorder="1" applyProtection="1">
      <protection locked="0"/>
    </xf>
    <xf numFmtId="0" fontId="22" fillId="10" borderId="14" xfId="0" applyFont="1" applyFill="1" applyBorder="1" applyAlignment="1">
      <alignment horizontal="center"/>
    </xf>
    <xf numFmtId="0" fontId="8" fillId="11" borderId="14" xfId="0" applyFont="1" applyFill="1" applyBorder="1" applyAlignment="1">
      <alignment horizontal="center"/>
    </xf>
    <xf numFmtId="0" fontId="22" fillId="12" borderId="14" xfId="0" applyFont="1" applyFill="1" applyBorder="1" applyAlignment="1">
      <alignment horizontal="center"/>
    </xf>
    <xf numFmtId="0" fontId="8" fillId="0" borderId="0" xfId="0" applyFont="1" applyFill="1" applyBorder="1" applyAlignment="1">
      <alignment horizontal="center" vertical="center"/>
    </xf>
    <xf numFmtId="0" fontId="2" fillId="0" borderId="0" xfId="0" applyFont="1" applyFill="1" applyBorder="1"/>
    <xf numFmtId="0" fontId="4" fillId="8" borderId="15" xfId="0" applyFont="1" applyFill="1" applyBorder="1" applyAlignment="1">
      <alignment horizontal="left" vertical="center" wrapText="1"/>
    </xf>
    <xf numFmtId="0" fontId="8" fillId="0" borderId="15" xfId="0" applyFont="1" applyFill="1" applyBorder="1" applyAlignment="1">
      <alignment horizontal="center"/>
    </xf>
    <xf numFmtId="2" fontId="8" fillId="0" borderId="15" xfId="0" applyNumberFormat="1" applyFont="1" applyFill="1" applyBorder="1" applyAlignment="1">
      <alignment horizontal="center"/>
    </xf>
    <xf numFmtId="0" fontId="8" fillId="0" borderId="16" xfId="0" applyFont="1" applyFill="1" applyBorder="1" applyAlignment="1" applyProtection="1">
      <alignment horizontal="center" vertical="center"/>
    </xf>
    <xf numFmtId="0" fontId="8" fillId="0" borderId="17" xfId="0" applyFont="1" applyFill="1" applyBorder="1" applyAlignment="1">
      <alignment horizontal="center"/>
    </xf>
    <xf numFmtId="0" fontId="4" fillId="8" borderId="16" xfId="0" applyFont="1" applyFill="1" applyBorder="1" applyAlignment="1">
      <alignment horizontal="left" vertical="center" wrapText="1"/>
    </xf>
    <xf numFmtId="0" fontId="8" fillId="0" borderId="16" xfId="0" applyFont="1" applyFill="1" applyBorder="1" applyAlignment="1">
      <alignment horizontal="center"/>
    </xf>
    <xf numFmtId="2" fontId="8" fillId="0" borderId="16" xfId="0" applyNumberFormat="1" applyFont="1" applyFill="1" applyBorder="1" applyAlignment="1">
      <alignment horizontal="center"/>
    </xf>
    <xf numFmtId="0" fontId="8" fillId="0" borderId="18" xfId="0" applyFont="1" applyFill="1" applyBorder="1" applyAlignment="1">
      <alignment horizontal="center"/>
    </xf>
    <xf numFmtId="0" fontId="4" fillId="8" borderId="19" xfId="0" applyFont="1" applyFill="1" applyBorder="1" applyAlignment="1">
      <alignment horizontal="left" vertical="center" wrapText="1"/>
    </xf>
    <xf numFmtId="0" fontId="8" fillId="0" borderId="19" xfId="0" applyFont="1" applyFill="1" applyBorder="1" applyAlignment="1">
      <alignment horizontal="center"/>
    </xf>
    <xf numFmtId="0" fontId="8" fillId="0" borderId="14" xfId="0" applyFont="1" applyFill="1" applyBorder="1" applyAlignment="1">
      <alignment horizontal="center"/>
    </xf>
    <xf numFmtId="2" fontId="8" fillId="0" borderId="14" xfId="0" applyNumberFormat="1" applyFont="1" applyFill="1" applyBorder="1" applyAlignment="1">
      <alignment horizontal="center"/>
    </xf>
    <xf numFmtId="0" fontId="8" fillId="0" borderId="14" xfId="0" applyFont="1" applyFill="1" applyBorder="1" applyAlignment="1" applyProtection="1">
      <alignment horizontal="center" vertical="center"/>
    </xf>
    <xf numFmtId="9" fontId="8" fillId="0" borderId="0" xfId="3" applyFont="1" applyFill="1" applyBorder="1" applyAlignment="1">
      <alignment horizontal="center"/>
    </xf>
    <xf numFmtId="0" fontId="2" fillId="11" borderId="0" xfId="0" applyFont="1" applyFill="1" applyBorder="1"/>
    <xf numFmtId="0" fontId="7" fillId="11" borderId="0" xfId="0" applyFont="1" applyFill="1" applyBorder="1" applyAlignment="1">
      <alignment horizontal="center" vertical="center"/>
    </xf>
    <xf numFmtId="0" fontId="12" fillId="5" borderId="20" xfId="0" applyFont="1" applyFill="1" applyBorder="1" applyAlignment="1">
      <alignment horizontal="center" vertical="center"/>
    </xf>
    <xf numFmtId="0" fontId="12" fillId="5" borderId="0" xfId="0" applyFont="1" applyFill="1" applyBorder="1" applyAlignment="1">
      <alignment horizontal="center" vertical="center" wrapText="1"/>
    </xf>
    <xf numFmtId="0" fontId="13" fillId="0" borderId="20" xfId="0" applyFont="1" applyFill="1" applyBorder="1" applyAlignment="1">
      <alignment horizontal="left" vertical="top" wrapText="1"/>
    </xf>
    <xf numFmtId="0" fontId="21" fillId="14" borderId="20" xfId="0" applyFont="1" applyFill="1" applyBorder="1" applyAlignment="1">
      <alignment horizontal="left" vertical="center" wrapText="1"/>
    </xf>
    <xf numFmtId="0" fontId="13" fillId="0" borderId="20" xfId="0" applyFont="1" applyFill="1" applyBorder="1" applyAlignment="1">
      <alignment horizontal="left" vertical="top" wrapText="1"/>
    </xf>
    <xf numFmtId="0" fontId="12" fillId="5" borderId="20" xfId="0" applyFont="1" applyFill="1" applyBorder="1" applyAlignment="1">
      <alignment horizontal="left" vertical="center" wrapText="1" indent="1"/>
    </xf>
    <xf numFmtId="0" fontId="26" fillId="0" borderId="0" xfId="0" applyFont="1" applyAlignment="1">
      <alignment horizontal="left" vertical="center" indent="4"/>
    </xf>
    <xf numFmtId="0" fontId="25" fillId="0" borderId="0" xfId="0" applyFont="1" applyAlignment="1">
      <alignment horizontal="left" vertical="center" indent="2"/>
    </xf>
    <xf numFmtId="0" fontId="13" fillId="15" borderId="20" xfId="0" applyFont="1" applyFill="1" applyBorder="1" applyAlignment="1">
      <alignment horizontal="left" vertical="top" wrapText="1"/>
    </xf>
    <xf numFmtId="0" fontId="27" fillId="0" borderId="0" xfId="0" applyFont="1"/>
    <xf numFmtId="0" fontId="13" fillId="15" borderId="20" xfId="0" applyFont="1" applyFill="1" applyBorder="1" applyAlignment="1">
      <alignment horizontal="left" vertical="top" wrapText="1"/>
    </xf>
    <xf numFmtId="0" fontId="13" fillId="15" borderId="20" xfId="0" applyFont="1" applyFill="1" applyBorder="1" applyAlignment="1">
      <alignment horizontal="left" vertical="top" wrapText="1"/>
    </xf>
    <xf numFmtId="0" fontId="24" fillId="0" borderId="0" xfId="0" applyFont="1" applyFill="1" applyBorder="1" applyAlignment="1">
      <alignment wrapText="1"/>
    </xf>
    <xf numFmtId="0" fontId="21" fillId="15" borderId="20" xfId="0" applyFont="1" applyFill="1" applyBorder="1" applyAlignment="1">
      <alignment horizontal="left" vertical="center" wrapText="1"/>
    </xf>
    <xf numFmtId="0" fontId="25" fillId="0" borderId="0" xfId="0" applyFont="1" applyAlignment="1">
      <alignment horizontal="left" vertical="center" wrapText="1" indent="2"/>
    </xf>
    <xf numFmtId="0" fontId="21" fillId="15" borderId="20" xfId="0" applyFont="1" applyFill="1" applyBorder="1" applyAlignment="1">
      <alignment horizontal="justify" vertical="center" wrapText="1"/>
    </xf>
    <xf numFmtId="0" fontId="13" fillId="0" borderId="20" xfId="0" applyFont="1" applyFill="1" applyBorder="1" applyAlignment="1">
      <alignment horizontal="left" vertical="top" wrapText="1"/>
    </xf>
    <xf numFmtId="0" fontId="12" fillId="5" borderId="20" xfId="0" applyFont="1" applyFill="1" applyBorder="1" applyAlignment="1">
      <alignment horizontal="center" vertical="center"/>
    </xf>
    <xf numFmtId="0" fontId="13" fillId="15" borderId="21" xfId="0" applyFont="1" applyFill="1" applyBorder="1" applyAlignment="1">
      <alignment horizontal="left" vertical="top" wrapText="1"/>
    </xf>
    <xf numFmtId="0" fontId="13" fillId="15" borderId="22" xfId="0" applyFont="1" applyFill="1" applyBorder="1" applyAlignment="1">
      <alignment horizontal="left" vertical="top" wrapText="1"/>
    </xf>
    <xf numFmtId="0" fontId="13" fillId="0" borderId="21" xfId="0" applyFont="1" applyFill="1" applyBorder="1" applyAlignment="1">
      <alignment horizontal="left" vertical="top" wrapText="1"/>
    </xf>
    <xf numFmtId="0" fontId="13" fillId="0" borderId="22" xfId="0" applyFont="1" applyFill="1" applyBorder="1" applyAlignment="1">
      <alignment horizontal="left" vertical="top" wrapText="1"/>
    </xf>
    <xf numFmtId="0" fontId="13" fillId="15" borderId="20" xfId="0" applyFont="1" applyFill="1" applyBorder="1" applyAlignment="1">
      <alignment horizontal="left" vertical="top" wrapText="1"/>
    </xf>
    <xf numFmtId="0" fontId="21" fillId="15" borderId="20" xfId="0" applyFont="1" applyFill="1" applyBorder="1" applyAlignment="1">
      <alignment horizontal="left" vertical="top" wrapText="1"/>
    </xf>
    <xf numFmtId="0" fontId="13" fillId="8" borderId="21" xfId="0" applyFont="1" applyFill="1" applyBorder="1" applyAlignment="1">
      <alignment horizontal="left" vertical="top" wrapText="1"/>
    </xf>
    <xf numFmtId="0" fontId="13" fillId="8" borderId="22" xfId="0" applyFont="1" applyFill="1" applyBorder="1" applyAlignment="1">
      <alignment horizontal="left" vertical="top" wrapText="1"/>
    </xf>
    <xf numFmtId="0" fontId="13" fillId="0" borderId="4" xfId="0" applyFont="1" applyFill="1" applyBorder="1" applyAlignment="1">
      <alignment horizontal="left" vertical="top" wrapText="1" indent="1"/>
    </xf>
    <xf numFmtId="0" fontId="13" fillId="0" borderId="0" xfId="0" applyFont="1" applyFill="1" applyBorder="1" applyAlignment="1">
      <alignment horizontal="left" vertical="top" wrapText="1" indent="1"/>
    </xf>
    <xf numFmtId="0" fontId="13" fillId="0" borderId="5" xfId="0" applyFont="1" applyFill="1" applyBorder="1" applyAlignment="1">
      <alignment horizontal="left" vertical="top" wrapText="1" indent="1"/>
    </xf>
    <xf numFmtId="0" fontId="12" fillId="5" borderId="4" xfId="0" applyFont="1" applyFill="1" applyBorder="1" applyAlignment="1">
      <alignment horizontal="left" vertical="center" indent="1"/>
    </xf>
    <xf numFmtId="0" fontId="12" fillId="5" borderId="0" xfId="0" applyFont="1" applyFill="1" applyBorder="1" applyAlignment="1">
      <alignment horizontal="left" vertical="center" indent="1"/>
    </xf>
    <xf numFmtId="0" fontId="12" fillId="5" borderId="5" xfId="0" applyFont="1" applyFill="1" applyBorder="1" applyAlignment="1">
      <alignment horizontal="left" vertical="center" indent="1"/>
    </xf>
    <xf numFmtId="0" fontId="12" fillId="0" borderId="4" xfId="0" applyFont="1" applyFill="1" applyBorder="1" applyAlignment="1">
      <alignment horizontal="left" vertical="center" indent="1"/>
    </xf>
    <xf numFmtId="0" fontId="12" fillId="0" borderId="0" xfId="0" applyFont="1" applyFill="1" applyBorder="1" applyAlignment="1">
      <alignment horizontal="left" vertical="center" indent="1"/>
    </xf>
    <xf numFmtId="0" fontId="12" fillId="0" borderId="5" xfId="0" applyFont="1" applyFill="1" applyBorder="1" applyAlignment="1">
      <alignment horizontal="left" vertical="center" indent="1"/>
    </xf>
    <xf numFmtId="0" fontId="1" fillId="0" borderId="10" xfId="0" applyFont="1" applyFill="1" applyBorder="1" applyAlignment="1">
      <alignment horizontal="center" vertical="center"/>
    </xf>
    <xf numFmtId="0" fontId="15" fillId="6" borderId="20" xfId="0" applyFont="1" applyFill="1" applyBorder="1" applyAlignment="1">
      <alignment horizontal="center" vertical="center"/>
    </xf>
    <xf numFmtId="0" fontId="13" fillId="0" borderId="21" xfId="0" applyFont="1" applyFill="1" applyBorder="1" applyAlignment="1">
      <alignment horizontal="justify" vertical="top"/>
    </xf>
    <xf numFmtId="0" fontId="13" fillId="0" borderId="22" xfId="0" applyFont="1" applyFill="1" applyBorder="1" applyAlignment="1">
      <alignment horizontal="justify" vertical="top"/>
    </xf>
    <xf numFmtId="0" fontId="13" fillId="0" borderId="21" xfId="0" applyFont="1" applyFill="1" applyBorder="1" applyAlignment="1">
      <alignment horizontal="justify" vertical="top" wrapText="1"/>
    </xf>
    <xf numFmtId="0" fontId="13" fillId="0" borderId="22" xfId="0" applyFont="1" applyFill="1" applyBorder="1" applyAlignment="1">
      <alignment horizontal="justify" vertical="top" wrapText="1"/>
    </xf>
    <xf numFmtId="0" fontId="10" fillId="0" borderId="0" xfId="0" applyFont="1" applyFill="1" applyBorder="1" applyAlignment="1">
      <alignment horizontal="center" vertical="top"/>
    </xf>
    <xf numFmtId="0" fontId="11" fillId="13" borderId="0" xfId="0" applyFont="1" applyFill="1" applyBorder="1" applyAlignment="1">
      <alignment horizontal="center" vertical="center"/>
    </xf>
    <xf numFmtId="0" fontId="12" fillId="5" borderId="1" xfId="0" applyFont="1" applyFill="1" applyBorder="1" applyAlignment="1">
      <alignment horizontal="left" vertical="center" indent="1"/>
    </xf>
    <xf numFmtId="0" fontId="12" fillId="5" borderId="2" xfId="0" applyFont="1" applyFill="1" applyBorder="1" applyAlignment="1">
      <alignment horizontal="left" vertical="center" indent="1"/>
    </xf>
    <xf numFmtId="0" fontId="13" fillId="16" borderId="2" xfId="0" applyFont="1" applyFill="1" applyBorder="1" applyAlignment="1">
      <alignment horizontal="center" vertical="center"/>
    </xf>
    <xf numFmtId="0" fontId="13" fillId="16" borderId="3" xfId="0" applyFont="1" applyFill="1" applyBorder="1" applyAlignment="1">
      <alignment horizontal="center" vertical="center"/>
    </xf>
    <xf numFmtId="0" fontId="13" fillId="16" borderId="0" xfId="0" applyFont="1" applyFill="1" applyBorder="1" applyAlignment="1">
      <alignment horizontal="center" vertical="center"/>
    </xf>
    <xf numFmtId="0" fontId="13" fillId="16" borderId="5" xfId="0" applyFont="1" applyFill="1" applyBorder="1" applyAlignment="1">
      <alignment horizontal="center" vertical="center"/>
    </xf>
    <xf numFmtId="164" fontId="13" fillId="0" borderId="0" xfId="0" applyNumberFormat="1" applyFont="1" applyFill="1" applyBorder="1" applyAlignment="1">
      <alignment horizontal="left"/>
    </xf>
    <xf numFmtId="0" fontId="12" fillId="0" borderId="0" xfId="0" applyFont="1" applyFill="1" applyBorder="1" applyAlignment="1">
      <alignment horizontal="center" vertical="center"/>
    </xf>
    <xf numFmtId="0" fontId="15" fillId="6" borderId="12" xfId="0" applyFont="1" applyFill="1" applyBorder="1" applyAlignment="1">
      <alignment horizontal="center" vertical="center"/>
    </xf>
    <xf numFmtId="0" fontId="15" fillId="6" borderId="13" xfId="0" applyFont="1" applyFill="1" applyBorder="1" applyAlignment="1">
      <alignment horizontal="center" vertical="center"/>
    </xf>
    <xf numFmtId="0" fontId="15" fillId="6" borderId="4" xfId="0" applyFont="1" applyFill="1" applyBorder="1" applyAlignment="1">
      <alignment horizontal="center" vertical="center"/>
    </xf>
    <xf numFmtId="0" fontId="15" fillId="6" borderId="5" xfId="0" applyFont="1" applyFill="1" applyBorder="1" applyAlignment="1">
      <alignment horizontal="center" vertical="center"/>
    </xf>
    <xf numFmtId="0" fontId="2" fillId="0" borderId="0" xfId="0" applyFont="1" applyFill="1" applyBorder="1" applyAlignment="1">
      <alignment horizontal="center" vertical="center" wrapText="1"/>
    </xf>
    <xf numFmtId="0" fontId="8" fillId="0" borderId="0" xfId="0" applyFont="1" applyFill="1" applyBorder="1" applyAlignment="1">
      <alignment horizontal="center" vertical="center" wrapText="1"/>
    </xf>
  </cellXfs>
  <cellStyles count="4">
    <cellStyle name="Normal" xfId="0" builtinId="0"/>
    <cellStyle name="Normal 2 2" xfId="1"/>
    <cellStyle name="Normal 4" xfId="2"/>
    <cellStyle name="Porcentaje" xfId="3" builtinId="5"/>
  </cellStyles>
  <dxfs count="87">
    <dxf>
      <fill>
        <patternFill>
          <bgColor rgb="FFE26B0A"/>
        </patternFill>
      </fill>
    </dxf>
    <dxf>
      <fill>
        <patternFill>
          <bgColor rgb="FF006600"/>
        </patternFill>
      </fill>
    </dxf>
    <dxf>
      <fill>
        <patternFill>
          <bgColor rgb="FFFF6600"/>
        </patternFill>
      </fill>
    </dxf>
    <dxf>
      <fill>
        <patternFill>
          <bgColor rgb="FF83D644"/>
        </patternFill>
      </fill>
    </dxf>
    <dxf>
      <fill>
        <patternFill>
          <bgColor rgb="FF83D644"/>
        </patternFill>
      </fill>
    </dxf>
    <dxf>
      <fill>
        <patternFill>
          <bgColor rgb="FFE26B0A"/>
        </patternFill>
      </fill>
    </dxf>
    <dxf>
      <fill>
        <patternFill>
          <bgColor rgb="FF006600"/>
        </patternFill>
      </fill>
    </dxf>
    <dxf>
      <fill>
        <patternFill>
          <bgColor rgb="FFFF6600"/>
        </patternFill>
      </fill>
    </dxf>
    <dxf>
      <fill>
        <patternFill>
          <bgColor rgb="FF83D644"/>
        </patternFill>
      </fill>
    </dxf>
    <dxf>
      <fill>
        <patternFill>
          <bgColor rgb="FF83D644"/>
        </patternFill>
      </fill>
    </dxf>
    <dxf>
      <fill>
        <patternFill>
          <bgColor rgb="FFE26B0A"/>
        </patternFill>
      </fill>
    </dxf>
    <dxf>
      <fill>
        <patternFill>
          <bgColor rgb="FF006600"/>
        </patternFill>
      </fill>
    </dxf>
    <dxf>
      <fill>
        <patternFill>
          <bgColor rgb="FFFF6600"/>
        </patternFill>
      </fill>
    </dxf>
    <dxf>
      <fill>
        <patternFill>
          <bgColor rgb="FF83D644"/>
        </patternFill>
      </fill>
    </dxf>
    <dxf>
      <fill>
        <patternFill>
          <bgColor rgb="FF83D644"/>
        </patternFill>
      </fill>
    </dxf>
    <dxf>
      <fill>
        <patternFill>
          <bgColor rgb="FFE26B0A"/>
        </patternFill>
      </fill>
    </dxf>
    <dxf>
      <fill>
        <patternFill>
          <bgColor rgb="FF006600"/>
        </patternFill>
      </fill>
    </dxf>
    <dxf>
      <fill>
        <patternFill>
          <bgColor rgb="FFFF6600"/>
        </patternFill>
      </fill>
    </dxf>
    <dxf>
      <fill>
        <patternFill>
          <bgColor rgb="FF83D644"/>
        </patternFill>
      </fill>
    </dxf>
    <dxf>
      <fill>
        <patternFill>
          <bgColor rgb="FF83D644"/>
        </patternFill>
      </fill>
    </dxf>
    <dxf>
      <fill>
        <patternFill>
          <bgColor rgb="FFE26B0A"/>
        </patternFill>
      </fill>
    </dxf>
    <dxf>
      <fill>
        <patternFill>
          <bgColor rgb="FF006600"/>
        </patternFill>
      </fill>
    </dxf>
    <dxf>
      <fill>
        <patternFill>
          <bgColor rgb="FFFF6600"/>
        </patternFill>
      </fill>
    </dxf>
    <dxf>
      <fill>
        <patternFill>
          <bgColor rgb="FF83D644"/>
        </patternFill>
      </fill>
    </dxf>
    <dxf>
      <fill>
        <patternFill>
          <bgColor rgb="FF83D644"/>
        </patternFill>
      </fill>
    </dxf>
    <dxf>
      <fill>
        <patternFill>
          <bgColor rgb="FFE26B0A"/>
        </patternFill>
      </fill>
    </dxf>
    <dxf>
      <fill>
        <patternFill>
          <bgColor rgb="FF006600"/>
        </patternFill>
      </fill>
    </dxf>
    <dxf>
      <fill>
        <patternFill>
          <bgColor rgb="FFFF6600"/>
        </patternFill>
      </fill>
    </dxf>
    <dxf>
      <fill>
        <patternFill>
          <bgColor rgb="FF83D644"/>
        </patternFill>
      </fill>
    </dxf>
    <dxf>
      <fill>
        <patternFill>
          <bgColor rgb="FF83D644"/>
        </patternFill>
      </fill>
    </dxf>
    <dxf>
      <fill>
        <patternFill>
          <bgColor rgb="FFE26B0A"/>
        </patternFill>
      </fill>
    </dxf>
    <dxf>
      <fill>
        <patternFill>
          <bgColor rgb="FF006600"/>
        </patternFill>
      </fill>
    </dxf>
    <dxf>
      <fill>
        <patternFill>
          <bgColor rgb="FFFF6600"/>
        </patternFill>
      </fill>
    </dxf>
    <dxf>
      <fill>
        <patternFill>
          <bgColor rgb="FF83D644"/>
        </patternFill>
      </fill>
    </dxf>
    <dxf>
      <fill>
        <patternFill>
          <bgColor rgb="FF83D644"/>
        </patternFill>
      </fill>
    </dxf>
    <dxf>
      <fill>
        <patternFill>
          <bgColor rgb="FFE26B0A"/>
        </patternFill>
      </fill>
    </dxf>
    <dxf>
      <fill>
        <patternFill>
          <bgColor rgb="FF006600"/>
        </patternFill>
      </fill>
    </dxf>
    <dxf>
      <fill>
        <patternFill>
          <bgColor rgb="FFFF6600"/>
        </patternFill>
      </fill>
    </dxf>
    <dxf>
      <fill>
        <patternFill>
          <bgColor rgb="FF83D644"/>
        </patternFill>
      </fill>
    </dxf>
    <dxf>
      <fill>
        <patternFill>
          <bgColor rgb="FF83D644"/>
        </patternFill>
      </fill>
    </dxf>
    <dxf>
      <fill>
        <patternFill>
          <bgColor rgb="FFE26B0A"/>
        </patternFill>
      </fill>
    </dxf>
    <dxf>
      <fill>
        <patternFill>
          <bgColor rgb="FF006600"/>
        </patternFill>
      </fill>
    </dxf>
    <dxf>
      <fill>
        <patternFill>
          <bgColor rgb="FFFF6600"/>
        </patternFill>
      </fill>
    </dxf>
    <dxf>
      <fill>
        <patternFill>
          <bgColor rgb="FF83D644"/>
        </patternFill>
      </fill>
    </dxf>
    <dxf>
      <fill>
        <patternFill>
          <bgColor rgb="FF83D644"/>
        </patternFill>
      </fill>
    </dxf>
    <dxf>
      <fill>
        <patternFill>
          <bgColor rgb="FFE26B0A"/>
        </patternFill>
      </fill>
    </dxf>
    <dxf>
      <fill>
        <patternFill>
          <bgColor rgb="FF006600"/>
        </patternFill>
      </fill>
    </dxf>
    <dxf>
      <fill>
        <patternFill>
          <bgColor rgb="FFFF6600"/>
        </patternFill>
      </fill>
    </dxf>
    <dxf>
      <fill>
        <patternFill>
          <bgColor rgb="FF83D644"/>
        </patternFill>
      </fill>
    </dxf>
    <dxf>
      <fill>
        <patternFill>
          <bgColor rgb="FF83D644"/>
        </patternFill>
      </fill>
    </dxf>
    <dxf>
      <fill>
        <patternFill>
          <bgColor rgb="FFE26B0A"/>
        </patternFill>
      </fill>
    </dxf>
    <dxf>
      <fill>
        <patternFill>
          <bgColor rgb="FF006600"/>
        </patternFill>
      </fill>
    </dxf>
    <dxf>
      <fill>
        <patternFill>
          <bgColor rgb="FFFF6600"/>
        </patternFill>
      </fill>
    </dxf>
    <dxf>
      <fill>
        <patternFill>
          <bgColor rgb="FF83D644"/>
        </patternFill>
      </fill>
    </dxf>
    <dxf>
      <fill>
        <patternFill>
          <bgColor rgb="FF83D644"/>
        </patternFill>
      </fill>
    </dxf>
    <dxf>
      <fill>
        <patternFill>
          <bgColor rgb="FF009900"/>
        </patternFill>
      </fill>
    </dxf>
    <dxf>
      <fill>
        <patternFill>
          <bgColor rgb="FFE26B0A"/>
        </patternFill>
      </fill>
    </dxf>
    <dxf>
      <fill>
        <patternFill>
          <bgColor rgb="FF006600"/>
        </patternFill>
      </fill>
    </dxf>
    <dxf>
      <fill>
        <patternFill>
          <bgColor rgb="FFFF6600"/>
        </patternFill>
      </fill>
    </dxf>
    <dxf>
      <fill>
        <patternFill>
          <bgColor rgb="FF83D644"/>
        </patternFill>
      </fill>
    </dxf>
    <dxf>
      <fill>
        <patternFill>
          <bgColor rgb="FF83D644"/>
        </patternFill>
      </fill>
    </dxf>
    <dxf>
      <fill>
        <patternFill>
          <bgColor rgb="FFE26B0A"/>
        </patternFill>
      </fill>
    </dxf>
    <dxf>
      <fill>
        <patternFill>
          <bgColor rgb="FF006600"/>
        </patternFill>
      </fill>
    </dxf>
    <dxf>
      <fill>
        <patternFill>
          <bgColor rgb="FFFF6600"/>
        </patternFill>
      </fill>
    </dxf>
    <dxf>
      <fill>
        <patternFill>
          <bgColor rgb="FF83D644"/>
        </patternFill>
      </fill>
    </dxf>
    <dxf>
      <fill>
        <patternFill>
          <bgColor rgb="FF83D644"/>
        </patternFill>
      </fill>
    </dxf>
    <dxf>
      <fill>
        <patternFill>
          <bgColor rgb="FFE26B0A"/>
        </patternFill>
      </fill>
    </dxf>
    <dxf>
      <fill>
        <patternFill>
          <bgColor rgb="FF006600"/>
        </patternFill>
      </fill>
    </dxf>
    <dxf>
      <fill>
        <patternFill>
          <bgColor rgb="FFFF6600"/>
        </patternFill>
      </fill>
    </dxf>
    <dxf>
      <fill>
        <patternFill>
          <bgColor rgb="FF83D644"/>
        </patternFill>
      </fill>
    </dxf>
    <dxf>
      <fill>
        <patternFill>
          <bgColor rgb="FF83D644"/>
        </patternFill>
      </fill>
    </dxf>
    <dxf>
      <fill>
        <patternFill>
          <bgColor rgb="FFE26B0A"/>
        </patternFill>
      </fill>
    </dxf>
    <dxf>
      <fill>
        <patternFill>
          <bgColor rgb="FF006600"/>
        </patternFill>
      </fill>
    </dxf>
    <dxf>
      <fill>
        <patternFill>
          <bgColor rgb="FFFF6600"/>
        </patternFill>
      </fill>
    </dxf>
    <dxf>
      <fill>
        <patternFill>
          <bgColor rgb="FF83D644"/>
        </patternFill>
      </fill>
    </dxf>
    <dxf>
      <fill>
        <patternFill>
          <bgColor rgb="FF83D644"/>
        </patternFill>
      </fill>
    </dxf>
    <dxf>
      <fill>
        <patternFill>
          <bgColor rgb="FFE26B0A"/>
        </patternFill>
      </fill>
    </dxf>
    <dxf>
      <fill>
        <patternFill>
          <bgColor rgb="FF006600"/>
        </patternFill>
      </fill>
    </dxf>
    <dxf>
      <fill>
        <patternFill>
          <bgColor rgb="FFFF6600"/>
        </patternFill>
      </fill>
    </dxf>
    <dxf>
      <fill>
        <patternFill>
          <bgColor rgb="FF83D644"/>
        </patternFill>
      </fill>
    </dxf>
    <dxf>
      <fill>
        <patternFill>
          <bgColor rgb="FF83D644"/>
        </patternFill>
      </fill>
    </dxf>
    <dxf>
      <fill>
        <patternFill>
          <bgColor rgb="FFE26B0A"/>
        </patternFill>
      </fill>
    </dxf>
    <dxf>
      <fill>
        <patternFill>
          <bgColor rgb="FF006600"/>
        </patternFill>
      </fill>
    </dxf>
    <dxf>
      <fill>
        <patternFill>
          <bgColor rgb="FFFF6600"/>
        </patternFill>
      </fill>
    </dxf>
    <dxf>
      <fill>
        <patternFill>
          <bgColor rgb="FF83D644"/>
        </patternFill>
      </fill>
    </dxf>
    <dxf>
      <fill>
        <patternFill>
          <bgColor rgb="FF83D644"/>
        </patternFill>
      </fill>
    </dxf>
    <dxf>
      <fill>
        <patternFill>
          <bgColor rgb="FF009900"/>
        </patternFill>
      </fill>
    </dxf>
  </dxfs>
  <tableStyles count="0" defaultTableStyle="TableStyleMedium2" defaultPivotStyle="PivotStyleLight16"/>
  <colors>
    <mruColors>
      <color rgb="FFFFC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CL"/>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sz="1200"/>
              <a:t>% Cumplimiento</a:t>
            </a:r>
          </a:p>
        </c:rich>
      </c:tx>
      <c:layout>
        <c:manualLayout>
          <c:xMode val="edge"/>
          <c:yMode val="edge"/>
          <c:x val="0.22047794724960079"/>
          <c:y val="0"/>
        </c:manualLayout>
      </c:layout>
      <c:overlay val="1"/>
    </c:title>
    <c:autoTitleDeleted val="0"/>
    <c:plotArea>
      <c:layout/>
      <c:barChart>
        <c:barDir val="col"/>
        <c:grouping val="clustered"/>
        <c:varyColors val="0"/>
        <c:ser>
          <c:idx val="0"/>
          <c:order val="0"/>
          <c:spPr>
            <a:solidFill>
              <a:srgbClr val="FF0000"/>
            </a:solidFill>
          </c:spPr>
          <c:invertIfNegative val="0"/>
          <c:dPt>
            <c:idx val="1"/>
            <c:invertIfNegative val="0"/>
            <c:bubble3D val="0"/>
            <c:spPr>
              <a:solidFill>
                <a:srgbClr val="FFFF00"/>
              </a:solidFill>
            </c:spPr>
          </c:dPt>
          <c:cat>
            <c:numLit>
              <c:formatCode>General</c:formatCode>
              <c:ptCount val="2"/>
              <c:pt idx="0">
                <c:v>0</c:v>
              </c:pt>
              <c:pt idx="1">
                <c:v>0</c:v>
              </c:pt>
            </c:numLit>
          </c:cat>
          <c:val>
            <c:numLit>
              <c:formatCode>General</c:formatCode>
              <c:ptCount val="2"/>
              <c:pt idx="0">
                <c:v>0</c:v>
              </c:pt>
              <c:pt idx="1">
                <c:v>0</c:v>
              </c:pt>
            </c:numLit>
          </c:val>
        </c:ser>
        <c:dLbls>
          <c:showLegendKey val="0"/>
          <c:showVal val="1"/>
          <c:showCatName val="0"/>
          <c:showSerName val="0"/>
          <c:showPercent val="0"/>
          <c:showBubbleSize val="0"/>
        </c:dLbls>
        <c:gapWidth val="75"/>
        <c:axId val="63073664"/>
        <c:axId val="63083648"/>
      </c:barChart>
      <c:catAx>
        <c:axId val="63073664"/>
        <c:scaling>
          <c:orientation val="minMax"/>
        </c:scaling>
        <c:delete val="0"/>
        <c:axPos val="b"/>
        <c:numFmt formatCode="General" sourceLinked="1"/>
        <c:majorTickMark val="none"/>
        <c:minorTickMark val="none"/>
        <c:tickLblPos val="nextTo"/>
        <c:crossAx val="63083648"/>
        <c:crosses val="autoZero"/>
        <c:auto val="1"/>
        <c:lblAlgn val="ctr"/>
        <c:lblOffset val="100"/>
        <c:noMultiLvlLbl val="0"/>
      </c:catAx>
      <c:valAx>
        <c:axId val="63083648"/>
        <c:scaling>
          <c:orientation val="minMax"/>
        </c:scaling>
        <c:delete val="0"/>
        <c:axPos val="l"/>
        <c:numFmt formatCode="General" sourceLinked="1"/>
        <c:majorTickMark val="none"/>
        <c:minorTickMark val="none"/>
        <c:tickLblPos val="nextTo"/>
        <c:crossAx val="630736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CL"/>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clustered"/>
        <c:varyColors val="0"/>
        <c:ser>
          <c:idx val="0"/>
          <c:order val="0"/>
          <c:tx>
            <c:v>#REF!</c:v>
          </c:tx>
          <c:invertIfNegative val="0"/>
          <c:val>
            <c:numLit>
              <c:formatCode>General</c:formatCode>
              <c:ptCount val="1"/>
              <c:pt idx="0">
                <c:v>1</c:v>
              </c:pt>
            </c:numLit>
          </c:val>
        </c:ser>
        <c:ser>
          <c:idx val="1"/>
          <c:order val="1"/>
          <c:tx>
            <c:v>#REF!</c:v>
          </c:tx>
          <c:invertIfNegative val="0"/>
          <c:val>
            <c:numLit>
              <c:formatCode>General</c:formatCode>
              <c:ptCount val="1"/>
              <c:pt idx="0">
                <c:v>1</c:v>
              </c:pt>
            </c:numLit>
          </c:val>
        </c:ser>
        <c:ser>
          <c:idx val="2"/>
          <c:order val="2"/>
          <c:tx>
            <c:v>#REF!</c:v>
          </c:tx>
          <c:invertIfNegative val="0"/>
          <c:val>
            <c:numLit>
              <c:formatCode>General</c:formatCode>
              <c:ptCount val="1"/>
              <c:pt idx="0">
                <c:v>1</c:v>
              </c:pt>
            </c:numLit>
          </c:val>
        </c:ser>
        <c:ser>
          <c:idx val="3"/>
          <c:order val="3"/>
          <c:tx>
            <c:v>#REF!</c:v>
          </c:tx>
          <c:invertIfNegative val="0"/>
          <c:val>
            <c:numLit>
              <c:formatCode>General</c:formatCode>
              <c:ptCount val="1"/>
              <c:pt idx="0">
                <c:v>1</c:v>
              </c:pt>
            </c:numLit>
          </c:val>
        </c:ser>
        <c:ser>
          <c:idx val="4"/>
          <c:order val="4"/>
          <c:tx>
            <c:v>#REF!</c:v>
          </c:tx>
          <c:invertIfNegative val="0"/>
          <c:val>
            <c:numLit>
              <c:formatCode>General</c:formatCode>
              <c:ptCount val="1"/>
              <c:pt idx="0">
                <c:v>1</c:v>
              </c:pt>
            </c:numLit>
          </c:val>
        </c:ser>
        <c:ser>
          <c:idx val="5"/>
          <c:order val="5"/>
          <c:tx>
            <c:v>#REF!</c:v>
          </c:tx>
          <c:invertIfNegative val="0"/>
          <c:val>
            <c:numLit>
              <c:formatCode>General</c:formatCode>
              <c:ptCount val="1"/>
              <c:pt idx="0">
                <c:v>1</c:v>
              </c:pt>
            </c:numLit>
          </c:val>
        </c:ser>
        <c:ser>
          <c:idx val="6"/>
          <c:order val="6"/>
          <c:tx>
            <c:v>#REF!</c:v>
          </c:tx>
          <c:invertIfNegative val="0"/>
          <c:val>
            <c:numLit>
              <c:formatCode>General</c:formatCode>
              <c:ptCount val="1"/>
              <c:pt idx="0">
                <c:v>1</c:v>
              </c:pt>
            </c:numLit>
          </c:val>
        </c:ser>
        <c:ser>
          <c:idx val="7"/>
          <c:order val="7"/>
          <c:tx>
            <c:v>#REF!</c:v>
          </c:tx>
          <c:invertIfNegative val="0"/>
          <c:val>
            <c:numLit>
              <c:formatCode>General</c:formatCode>
              <c:ptCount val="1"/>
              <c:pt idx="0">
                <c:v>1</c:v>
              </c:pt>
            </c:numLit>
          </c:val>
        </c:ser>
        <c:ser>
          <c:idx val="8"/>
          <c:order val="8"/>
          <c:tx>
            <c:v>#REF!</c:v>
          </c:tx>
          <c:invertIfNegative val="0"/>
          <c:val>
            <c:numLit>
              <c:formatCode>General</c:formatCode>
              <c:ptCount val="1"/>
              <c:pt idx="0">
                <c:v>1</c:v>
              </c:pt>
            </c:numLit>
          </c:val>
        </c:ser>
        <c:ser>
          <c:idx val="9"/>
          <c:order val="9"/>
          <c:tx>
            <c:v>#REF!</c:v>
          </c:tx>
          <c:invertIfNegative val="0"/>
          <c:val>
            <c:numLit>
              <c:formatCode>General</c:formatCode>
              <c:ptCount val="1"/>
              <c:pt idx="0">
                <c:v>1</c:v>
              </c:pt>
            </c:numLit>
          </c:val>
        </c:ser>
        <c:ser>
          <c:idx val="10"/>
          <c:order val="10"/>
          <c:tx>
            <c:v>#REF!</c:v>
          </c:tx>
          <c:invertIfNegative val="0"/>
          <c:val>
            <c:numLit>
              <c:formatCode>General</c:formatCode>
              <c:ptCount val="1"/>
              <c:pt idx="0">
                <c:v>1</c:v>
              </c:pt>
            </c:numLit>
          </c:val>
        </c:ser>
        <c:dLbls>
          <c:showLegendKey val="0"/>
          <c:showVal val="0"/>
          <c:showCatName val="0"/>
          <c:showSerName val="0"/>
          <c:showPercent val="0"/>
          <c:showBubbleSize val="0"/>
        </c:dLbls>
        <c:gapWidth val="150"/>
        <c:axId val="63746816"/>
        <c:axId val="63748352"/>
      </c:barChart>
      <c:catAx>
        <c:axId val="63746816"/>
        <c:scaling>
          <c:orientation val="minMax"/>
        </c:scaling>
        <c:delete val="0"/>
        <c:axPos val="b"/>
        <c:majorTickMark val="out"/>
        <c:minorTickMark val="none"/>
        <c:tickLblPos val="nextTo"/>
        <c:crossAx val="63748352"/>
        <c:crosses val="autoZero"/>
        <c:auto val="1"/>
        <c:lblAlgn val="ctr"/>
        <c:lblOffset val="100"/>
        <c:noMultiLvlLbl val="0"/>
      </c:catAx>
      <c:valAx>
        <c:axId val="63748352"/>
        <c:scaling>
          <c:orientation val="minMax"/>
        </c:scaling>
        <c:delete val="0"/>
        <c:axPos val="l"/>
        <c:majorGridlines/>
        <c:numFmt formatCode="General" sourceLinked="1"/>
        <c:majorTickMark val="out"/>
        <c:minorTickMark val="none"/>
        <c:tickLblPos val="nextTo"/>
        <c:crossAx val="63746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194732</xdr:colOff>
      <xdr:row>8</xdr:row>
      <xdr:rowOff>465666</xdr:rowOff>
    </xdr:from>
    <xdr:to>
      <xdr:col>0</xdr:col>
      <xdr:colOff>376765</xdr:colOff>
      <xdr:row>8</xdr:row>
      <xdr:rowOff>647700</xdr:rowOff>
    </xdr:to>
    <xdr:sp macro="" textlink="">
      <xdr:nvSpPr>
        <xdr:cNvPr id="45" name="Oval 6"/>
        <xdr:cNvSpPr/>
      </xdr:nvSpPr>
      <xdr:spPr>
        <a:xfrm>
          <a:off x="194732" y="3989916"/>
          <a:ext cx="182033" cy="1059"/>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194732</xdr:colOff>
      <xdr:row>9</xdr:row>
      <xdr:rowOff>427566</xdr:rowOff>
    </xdr:from>
    <xdr:to>
      <xdr:col>0</xdr:col>
      <xdr:colOff>376765</xdr:colOff>
      <xdr:row>9</xdr:row>
      <xdr:rowOff>609600</xdr:rowOff>
    </xdr:to>
    <xdr:sp macro="" textlink="">
      <xdr:nvSpPr>
        <xdr:cNvPr id="46" name="Oval 6"/>
        <xdr:cNvSpPr/>
      </xdr:nvSpPr>
      <xdr:spPr>
        <a:xfrm>
          <a:off x="194732" y="4418541"/>
          <a:ext cx="182033" cy="182034"/>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194732</xdr:colOff>
      <xdr:row>15</xdr:row>
      <xdr:rowOff>0</xdr:rowOff>
    </xdr:from>
    <xdr:to>
      <xdr:col>0</xdr:col>
      <xdr:colOff>376765</xdr:colOff>
      <xdr:row>15</xdr:row>
      <xdr:rowOff>0</xdr:rowOff>
    </xdr:to>
    <xdr:sp macro="" textlink="">
      <xdr:nvSpPr>
        <xdr:cNvPr id="47" name="Oval 6"/>
        <xdr:cNvSpPr/>
      </xdr:nvSpPr>
      <xdr:spPr>
        <a:xfrm>
          <a:off x="194732" y="8010525"/>
          <a:ext cx="182033" cy="0"/>
        </a:xfrm>
        <a:prstGeom prst="ellipse">
          <a:avLst/>
        </a:prstGeom>
        <a:solidFill>
          <a:srgbClr val="FFEC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231319</xdr:colOff>
      <xdr:row>13</xdr:row>
      <xdr:rowOff>467174</xdr:rowOff>
    </xdr:from>
    <xdr:to>
      <xdr:col>0</xdr:col>
      <xdr:colOff>413352</xdr:colOff>
      <xdr:row>13</xdr:row>
      <xdr:rowOff>649208</xdr:rowOff>
    </xdr:to>
    <xdr:sp macro="" textlink="">
      <xdr:nvSpPr>
        <xdr:cNvPr id="48" name="Oval 6"/>
        <xdr:cNvSpPr/>
      </xdr:nvSpPr>
      <xdr:spPr>
        <a:xfrm>
          <a:off x="231319" y="7353749"/>
          <a:ext cx="182033" cy="10584"/>
        </a:xfrm>
        <a:prstGeom prst="ellipse">
          <a:avLst/>
        </a:prstGeom>
        <a:solidFill>
          <a:srgbClr val="FFEC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213782</xdr:colOff>
      <xdr:row>5</xdr:row>
      <xdr:rowOff>340782</xdr:rowOff>
    </xdr:from>
    <xdr:to>
      <xdr:col>0</xdr:col>
      <xdr:colOff>395815</xdr:colOff>
      <xdr:row>5</xdr:row>
      <xdr:rowOff>513290</xdr:rowOff>
    </xdr:to>
    <xdr:sp macro="" textlink="">
      <xdr:nvSpPr>
        <xdr:cNvPr id="49" name="Oval 6"/>
        <xdr:cNvSpPr/>
      </xdr:nvSpPr>
      <xdr:spPr>
        <a:xfrm>
          <a:off x="213782" y="1693332"/>
          <a:ext cx="182033" cy="172508"/>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219075</xdr:colOff>
      <xdr:row>22</xdr:row>
      <xdr:rowOff>327025</xdr:rowOff>
    </xdr:from>
    <xdr:to>
      <xdr:col>0</xdr:col>
      <xdr:colOff>440055</xdr:colOff>
      <xdr:row>22</xdr:row>
      <xdr:rowOff>548005</xdr:rowOff>
    </xdr:to>
    <xdr:sp macro="" textlink="">
      <xdr:nvSpPr>
        <xdr:cNvPr id="50" name="Oval 20"/>
        <xdr:cNvSpPr/>
      </xdr:nvSpPr>
      <xdr:spPr>
        <a:xfrm>
          <a:off x="219075" y="13214350"/>
          <a:ext cx="220980" cy="220980"/>
        </a:xfrm>
        <a:prstGeom prst="ellipse">
          <a:avLst/>
        </a:prstGeom>
        <a:solidFill>
          <a:srgbClr val="FFFF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217714</xdr:colOff>
      <xdr:row>27</xdr:row>
      <xdr:rowOff>410028</xdr:rowOff>
    </xdr:from>
    <xdr:to>
      <xdr:col>0</xdr:col>
      <xdr:colOff>438694</xdr:colOff>
      <xdr:row>27</xdr:row>
      <xdr:rowOff>631008</xdr:rowOff>
    </xdr:to>
    <xdr:sp macro="" textlink="">
      <xdr:nvSpPr>
        <xdr:cNvPr id="51" name="Oval 24"/>
        <xdr:cNvSpPr/>
      </xdr:nvSpPr>
      <xdr:spPr>
        <a:xfrm>
          <a:off x="217714" y="16745403"/>
          <a:ext cx="220980" cy="220980"/>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190500</xdr:colOff>
      <xdr:row>31</xdr:row>
      <xdr:rowOff>342900</xdr:rowOff>
    </xdr:from>
    <xdr:to>
      <xdr:col>0</xdr:col>
      <xdr:colOff>411480</xdr:colOff>
      <xdr:row>31</xdr:row>
      <xdr:rowOff>563880</xdr:rowOff>
    </xdr:to>
    <xdr:sp macro="" textlink="">
      <xdr:nvSpPr>
        <xdr:cNvPr id="52" name="Oval 25"/>
        <xdr:cNvSpPr/>
      </xdr:nvSpPr>
      <xdr:spPr>
        <a:xfrm>
          <a:off x="190500" y="19383375"/>
          <a:ext cx="220980" cy="220980"/>
        </a:xfrm>
        <a:prstGeom prst="ellipse">
          <a:avLst/>
        </a:prstGeom>
        <a:solidFill>
          <a:srgbClr val="FFFF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204107</xdr:colOff>
      <xdr:row>28</xdr:row>
      <xdr:rowOff>372835</xdr:rowOff>
    </xdr:from>
    <xdr:to>
      <xdr:col>0</xdr:col>
      <xdr:colOff>425087</xdr:colOff>
      <xdr:row>28</xdr:row>
      <xdr:rowOff>593815</xdr:rowOff>
    </xdr:to>
    <xdr:sp macro="" textlink="">
      <xdr:nvSpPr>
        <xdr:cNvPr id="53" name="Oval 26"/>
        <xdr:cNvSpPr/>
      </xdr:nvSpPr>
      <xdr:spPr>
        <a:xfrm>
          <a:off x="204107" y="17394010"/>
          <a:ext cx="220980" cy="220980"/>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190500</xdr:colOff>
      <xdr:row>29</xdr:row>
      <xdr:rowOff>342900</xdr:rowOff>
    </xdr:from>
    <xdr:to>
      <xdr:col>0</xdr:col>
      <xdr:colOff>411480</xdr:colOff>
      <xdr:row>29</xdr:row>
      <xdr:rowOff>563880</xdr:rowOff>
    </xdr:to>
    <xdr:sp macro="" textlink="">
      <xdr:nvSpPr>
        <xdr:cNvPr id="54" name="Oval 27"/>
        <xdr:cNvSpPr/>
      </xdr:nvSpPr>
      <xdr:spPr>
        <a:xfrm>
          <a:off x="190500" y="17992725"/>
          <a:ext cx="220980" cy="220980"/>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190500</xdr:colOff>
      <xdr:row>30</xdr:row>
      <xdr:rowOff>342900</xdr:rowOff>
    </xdr:from>
    <xdr:to>
      <xdr:col>0</xdr:col>
      <xdr:colOff>411480</xdr:colOff>
      <xdr:row>30</xdr:row>
      <xdr:rowOff>563880</xdr:rowOff>
    </xdr:to>
    <xdr:sp macro="" textlink="">
      <xdr:nvSpPr>
        <xdr:cNvPr id="55" name="Oval 28"/>
        <xdr:cNvSpPr/>
      </xdr:nvSpPr>
      <xdr:spPr>
        <a:xfrm>
          <a:off x="190500" y="18811875"/>
          <a:ext cx="220980" cy="220980"/>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204107</xdr:colOff>
      <xdr:row>33</xdr:row>
      <xdr:rowOff>523421</xdr:rowOff>
    </xdr:from>
    <xdr:to>
      <xdr:col>0</xdr:col>
      <xdr:colOff>425087</xdr:colOff>
      <xdr:row>33</xdr:row>
      <xdr:rowOff>744401</xdr:rowOff>
    </xdr:to>
    <xdr:sp macro="" textlink="">
      <xdr:nvSpPr>
        <xdr:cNvPr id="56" name="Oval 29"/>
        <xdr:cNvSpPr/>
      </xdr:nvSpPr>
      <xdr:spPr>
        <a:xfrm>
          <a:off x="204107" y="20744996"/>
          <a:ext cx="220980" cy="220980"/>
        </a:xfrm>
        <a:prstGeom prst="ellipse">
          <a:avLst/>
        </a:prstGeom>
        <a:solidFill>
          <a:srgbClr val="FFFF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190500</xdr:colOff>
      <xdr:row>53</xdr:row>
      <xdr:rowOff>368300</xdr:rowOff>
    </xdr:from>
    <xdr:to>
      <xdr:col>0</xdr:col>
      <xdr:colOff>411480</xdr:colOff>
      <xdr:row>53</xdr:row>
      <xdr:rowOff>589280</xdr:rowOff>
    </xdr:to>
    <xdr:sp macro="" textlink="">
      <xdr:nvSpPr>
        <xdr:cNvPr id="57" name="Oval 33"/>
        <xdr:cNvSpPr/>
      </xdr:nvSpPr>
      <xdr:spPr>
        <a:xfrm>
          <a:off x="190500" y="33724850"/>
          <a:ext cx="220980" cy="220980"/>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232832</xdr:colOff>
      <xdr:row>6</xdr:row>
      <xdr:rowOff>358781</xdr:rowOff>
    </xdr:from>
    <xdr:to>
      <xdr:col>0</xdr:col>
      <xdr:colOff>414865</xdr:colOff>
      <xdr:row>6</xdr:row>
      <xdr:rowOff>540815</xdr:rowOff>
    </xdr:to>
    <xdr:sp macro="" textlink="">
      <xdr:nvSpPr>
        <xdr:cNvPr id="58" name="Oval 6"/>
        <xdr:cNvSpPr/>
      </xdr:nvSpPr>
      <xdr:spPr>
        <a:xfrm>
          <a:off x="232832" y="2320931"/>
          <a:ext cx="182033" cy="182034"/>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270932</xdr:colOff>
      <xdr:row>7</xdr:row>
      <xdr:rowOff>505883</xdr:rowOff>
    </xdr:from>
    <xdr:to>
      <xdr:col>0</xdr:col>
      <xdr:colOff>452965</xdr:colOff>
      <xdr:row>7</xdr:row>
      <xdr:rowOff>678392</xdr:rowOff>
    </xdr:to>
    <xdr:sp macro="" textlink="">
      <xdr:nvSpPr>
        <xdr:cNvPr id="59" name="Oval 6"/>
        <xdr:cNvSpPr/>
      </xdr:nvSpPr>
      <xdr:spPr>
        <a:xfrm>
          <a:off x="270932" y="3287183"/>
          <a:ext cx="182033" cy="172509"/>
        </a:xfrm>
        <a:prstGeom prst="ellipse">
          <a:avLst/>
        </a:prstGeom>
        <a:solidFill>
          <a:srgbClr val="FFEC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232832</xdr:colOff>
      <xdr:row>10</xdr:row>
      <xdr:rowOff>389466</xdr:rowOff>
    </xdr:from>
    <xdr:to>
      <xdr:col>0</xdr:col>
      <xdr:colOff>414865</xdr:colOff>
      <xdr:row>10</xdr:row>
      <xdr:rowOff>542925</xdr:rowOff>
    </xdr:to>
    <xdr:sp macro="" textlink="">
      <xdr:nvSpPr>
        <xdr:cNvPr id="60" name="Oval 6"/>
        <xdr:cNvSpPr/>
      </xdr:nvSpPr>
      <xdr:spPr>
        <a:xfrm>
          <a:off x="232832" y="5123391"/>
          <a:ext cx="182033" cy="153459"/>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213782</xdr:colOff>
      <xdr:row>11</xdr:row>
      <xdr:rowOff>395816</xdr:rowOff>
    </xdr:from>
    <xdr:to>
      <xdr:col>0</xdr:col>
      <xdr:colOff>395815</xdr:colOff>
      <xdr:row>11</xdr:row>
      <xdr:rowOff>549275</xdr:rowOff>
    </xdr:to>
    <xdr:sp macro="" textlink="">
      <xdr:nvSpPr>
        <xdr:cNvPr id="61" name="Oval 6"/>
        <xdr:cNvSpPr/>
      </xdr:nvSpPr>
      <xdr:spPr>
        <a:xfrm>
          <a:off x="213782" y="5891741"/>
          <a:ext cx="182033" cy="153459"/>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194732</xdr:colOff>
      <xdr:row>13</xdr:row>
      <xdr:rowOff>0</xdr:rowOff>
    </xdr:from>
    <xdr:to>
      <xdr:col>0</xdr:col>
      <xdr:colOff>376765</xdr:colOff>
      <xdr:row>13</xdr:row>
      <xdr:rowOff>0</xdr:rowOff>
    </xdr:to>
    <xdr:sp macro="" textlink="">
      <xdr:nvSpPr>
        <xdr:cNvPr id="62" name="Oval 6"/>
        <xdr:cNvSpPr/>
      </xdr:nvSpPr>
      <xdr:spPr>
        <a:xfrm>
          <a:off x="194732" y="6886575"/>
          <a:ext cx="182033" cy="0"/>
        </a:xfrm>
        <a:prstGeom prst="ellipse">
          <a:avLst/>
        </a:prstGeom>
        <a:solidFill>
          <a:srgbClr val="FFEC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247650</xdr:colOff>
      <xdr:row>14</xdr:row>
      <xdr:rowOff>376766</xdr:rowOff>
    </xdr:from>
    <xdr:to>
      <xdr:col>0</xdr:col>
      <xdr:colOff>429683</xdr:colOff>
      <xdr:row>14</xdr:row>
      <xdr:rowOff>558800</xdr:rowOff>
    </xdr:to>
    <xdr:sp macro="" textlink="">
      <xdr:nvSpPr>
        <xdr:cNvPr id="63" name="Oval 6"/>
        <xdr:cNvSpPr/>
      </xdr:nvSpPr>
      <xdr:spPr>
        <a:xfrm>
          <a:off x="247650" y="7739591"/>
          <a:ext cx="182033" cy="182034"/>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194732</xdr:colOff>
      <xdr:row>15</xdr:row>
      <xdr:rowOff>452966</xdr:rowOff>
    </xdr:from>
    <xdr:to>
      <xdr:col>0</xdr:col>
      <xdr:colOff>376765</xdr:colOff>
      <xdr:row>15</xdr:row>
      <xdr:rowOff>635000</xdr:rowOff>
    </xdr:to>
    <xdr:sp macro="" textlink="">
      <xdr:nvSpPr>
        <xdr:cNvPr id="64" name="Oval 6"/>
        <xdr:cNvSpPr/>
      </xdr:nvSpPr>
      <xdr:spPr>
        <a:xfrm>
          <a:off x="194732" y="8463491"/>
          <a:ext cx="182033" cy="182034"/>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194732</xdr:colOff>
      <xdr:row>16</xdr:row>
      <xdr:rowOff>351366</xdr:rowOff>
    </xdr:from>
    <xdr:to>
      <xdr:col>0</xdr:col>
      <xdr:colOff>376765</xdr:colOff>
      <xdr:row>16</xdr:row>
      <xdr:rowOff>533400</xdr:rowOff>
    </xdr:to>
    <xdr:sp macro="" textlink="">
      <xdr:nvSpPr>
        <xdr:cNvPr id="65" name="Oval 6"/>
        <xdr:cNvSpPr/>
      </xdr:nvSpPr>
      <xdr:spPr>
        <a:xfrm>
          <a:off x="194732" y="9123891"/>
          <a:ext cx="182033" cy="182034"/>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194732</xdr:colOff>
      <xdr:row>17</xdr:row>
      <xdr:rowOff>414866</xdr:rowOff>
    </xdr:from>
    <xdr:to>
      <xdr:col>0</xdr:col>
      <xdr:colOff>376765</xdr:colOff>
      <xdr:row>17</xdr:row>
      <xdr:rowOff>596900</xdr:rowOff>
    </xdr:to>
    <xdr:sp macro="" textlink="">
      <xdr:nvSpPr>
        <xdr:cNvPr id="66" name="Oval 6"/>
        <xdr:cNvSpPr/>
      </xdr:nvSpPr>
      <xdr:spPr>
        <a:xfrm>
          <a:off x="194732" y="9882716"/>
          <a:ext cx="182033" cy="182034"/>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223307</xdr:colOff>
      <xdr:row>19</xdr:row>
      <xdr:rowOff>335491</xdr:rowOff>
    </xdr:from>
    <xdr:to>
      <xdr:col>0</xdr:col>
      <xdr:colOff>405340</xdr:colOff>
      <xdr:row>19</xdr:row>
      <xdr:rowOff>517525</xdr:rowOff>
    </xdr:to>
    <xdr:sp macro="" textlink="">
      <xdr:nvSpPr>
        <xdr:cNvPr id="67" name="Oval 6"/>
        <xdr:cNvSpPr/>
      </xdr:nvSpPr>
      <xdr:spPr>
        <a:xfrm>
          <a:off x="223307" y="11327341"/>
          <a:ext cx="182033" cy="182034"/>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242357</xdr:colOff>
      <xdr:row>20</xdr:row>
      <xdr:rowOff>351366</xdr:rowOff>
    </xdr:from>
    <xdr:to>
      <xdr:col>0</xdr:col>
      <xdr:colOff>424390</xdr:colOff>
      <xdr:row>20</xdr:row>
      <xdr:rowOff>533400</xdr:rowOff>
    </xdr:to>
    <xdr:sp macro="" textlink="">
      <xdr:nvSpPr>
        <xdr:cNvPr id="68" name="Oval 6"/>
        <xdr:cNvSpPr/>
      </xdr:nvSpPr>
      <xdr:spPr>
        <a:xfrm>
          <a:off x="242357" y="12000441"/>
          <a:ext cx="182033" cy="182034"/>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237669</xdr:colOff>
      <xdr:row>12</xdr:row>
      <xdr:rowOff>359224</xdr:rowOff>
    </xdr:from>
    <xdr:to>
      <xdr:col>0</xdr:col>
      <xdr:colOff>419702</xdr:colOff>
      <xdr:row>12</xdr:row>
      <xdr:rowOff>531733</xdr:rowOff>
    </xdr:to>
    <xdr:sp macro="" textlink="">
      <xdr:nvSpPr>
        <xdr:cNvPr id="69" name="Oval 6"/>
        <xdr:cNvSpPr/>
      </xdr:nvSpPr>
      <xdr:spPr>
        <a:xfrm>
          <a:off x="237669" y="6512374"/>
          <a:ext cx="182033" cy="172509"/>
        </a:xfrm>
        <a:prstGeom prst="ellipse">
          <a:avLst/>
        </a:prstGeom>
        <a:solidFill>
          <a:srgbClr val="FFEC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223307</xdr:colOff>
      <xdr:row>18</xdr:row>
      <xdr:rowOff>348191</xdr:rowOff>
    </xdr:from>
    <xdr:to>
      <xdr:col>0</xdr:col>
      <xdr:colOff>405340</xdr:colOff>
      <xdr:row>18</xdr:row>
      <xdr:rowOff>492125</xdr:rowOff>
    </xdr:to>
    <xdr:sp macro="" textlink="">
      <xdr:nvSpPr>
        <xdr:cNvPr id="70" name="Oval 6"/>
        <xdr:cNvSpPr/>
      </xdr:nvSpPr>
      <xdr:spPr>
        <a:xfrm>
          <a:off x="223307" y="10616141"/>
          <a:ext cx="182033" cy="143934"/>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190498</xdr:colOff>
      <xdr:row>34</xdr:row>
      <xdr:rowOff>421817</xdr:rowOff>
    </xdr:from>
    <xdr:to>
      <xdr:col>0</xdr:col>
      <xdr:colOff>411478</xdr:colOff>
      <xdr:row>34</xdr:row>
      <xdr:rowOff>642797</xdr:rowOff>
    </xdr:to>
    <xdr:sp macro="" textlink="">
      <xdr:nvSpPr>
        <xdr:cNvPr id="71" name="Oval 29"/>
        <xdr:cNvSpPr/>
      </xdr:nvSpPr>
      <xdr:spPr>
        <a:xfrm>
          <a:off x="190498" y="21414917"/>
          <a:ext cx="220980" cy="220980"/>
        </a:xfrm>
        <a:prstGeom prst="ellipse">
          <a:avLst/>
        </a:prstGeom>
        <a:solidFill>
          <a:srgbClr val="FFFF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190498</xdr:colOff>
      <xdr:row>36</xdr:row>
      <xdr:rowOff>421817</xdr:rowOff>
    </xdr:from>
    <xdr:to>
      <xdr:col>0</xdr:col>
      <xdr:colOff>411478</xdr:colOff>
      <xdr:row>36</xdr:row>
      <xdr:rowOff>642797</xdr:rowOff>
    </xdr:to>
    <xdr:sp macro="" textlink="">
      <xdr:nvSpPr>
        <xdr:cNvPr id="72" name="Oval 25"/>
        <xdr:cNvSpPr/>
      </xdr:nvSpPr>
      <xdr:spPr>
        <a:xfrm>
          <a:off x="190498" y="22815092"/>
          <a:ext cx="220980" cy="220980"/>
        </a:xfrm>
        <a:prstGeom prst="ellipse">
          <a:avLst/>
        </a:prstGeom>
        <a:solidFill>
          <a:srgbClr val="FFFF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209550</xdr:colOff>
      <xdr:row>23</xdr:row>
      <xdr:rowOff>381000</xdr:rowOff>
    </xdr:from>
    <xdr:to>
      <xdr:col>0</xdr:col>
      <xdr:colOff>438150</xdr:colOff>
      <xdr:row>23</xdr:row>
      <xdr:rowOff>600075</xdr:rowOff>
    </xdr:to>
    <xdr:sp macro="" textlink="">
      <xdr:nvSpPr>
        <xdr:cNvPr id="73" name="Oval 24"/>
        <xdr:cNvSpPr/>
      </xdr:nvSpPr>
      <xdr:spPr>
        <a:xfrm>
          <a:off x="209550" y="13868400"/>
          <a:ext cx="228600" cy="219075"/>
        </a:xfrm>
        <a:prstGeom prst="ellipse">
          <a:avLst/>
        </a:prstGeom>
        <a:solidFill>
          <a:srgbClr val="FFFF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219075</xdr:colOff>
      <xdr:row>24</xdr:row>
      <xdr:rowOff>333375</xdr:rowOff>
    </xdr:from>
    <xdr:to>
      <xdr:col>0</xdr:col>
      <xdr:colOff>447675</xdr:colOff>
      <xdr:row>24</xdr:row>
      <xdr:rowOff>523875</xdr:rowOff>
    </xdr:to>
    <xdr:sp macro="" textlink="">
      <xdr:nvSpPr>
        <xdr:cNvPr id="74" name="Oval 24"/>
        <xdr:cNvSpPr/>
      </xdr:nvSpPr>
      <xdr:spPr>
        <a:xfrm>
          <a:off x="219075" y="14611350"/>
          <a:ext cx="228600" cy="190500"/>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209550</xdr:colOff>
      <xdr:row>25</xdr:row>
      <xdr:rowOff>304800</xdr:rowOff>
    </xdr:from>
    <xdr:to>
      <xdr:col>0</xdr:col>
      <xdr:colOff>430530</xdr:colOff>
      <xdr:row>25</xdr:row>
      <xdr:rowOff>525780</xdr:rowOff>
    </xdr:to>
    <xdr:sp macro="" textlink="">
      <xdr:nvSpPr>
        <xdr:cNvPr id="75" name="Oval 24"/>
        <xdr:cNvSpPr/>
      </xdr:nvSpPr>
      <xdr:spPr>
        <a:xfrm>
          <a:off x="209550" y="15240000"/>
          <a:ext cx="220980" cy="220980"/>
        </a:xfrm>
        <a:prstGeom prst="ellipse">
          <a:avLst/>
        </a:prstGeom>
        <a:solidFill>
          <a:srgbClr val="FFFF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209550</xdr:colOff>
      <xdr:row>37</xdr:row>
      <xdr:rowOff>342900</xdr:rowOff>
    </xdr:from>
    <xdr:to>
      <xdr:col>0</xdr:col>
      <xdr:colOff>430530</xdr:colOff>
      <xdr:row>37</xdr:row>
      <xdr:rowOff>563880</xdr:rowOff>
    </xdr:to>
    <xdr:sp macro="" textlink="">
      <xdr:nvSpPr>
        <xdr:cNvPr id="76" name="Oval 25"/>
        <xdr:cNvSpPr/>
      </xdr:nvSpPr>
      <xdr:spPr>
        <a:xfrm>
          <a:off x="209550" y="23431500"/>
          <a:ext cx="220980" cy="220980"/>
        </a:xfrm>
        <a:prstGeom prst="ellipse">
          <a:avLst/>
        </a:prstGeom>
        <a:solidFill>
          <a:srgbClr val="FFFF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209550</xdr:colOff>
      <xdr:row>39</xdr:row>
      <xdr:rowOff>304799</xdr:rowOff>
    </xdr:from>
    <xdr:to>
      <xdr:col>0</xdr:col>
      <xdr:colOff>419100</xdr:colOff>
      <xdr:row>39</xdr:row>
      <xdr:rowOff>485774</xdr:rowOff>
    </xdr:to>
    <xdr:sp macro="" textlink="">
      <xdr:nvSpPr>
        <xdr:cNvPr id="77" name="Oval 33"/>
        <xdr:cNvSpPr/>
      </xdr:nvSpPr>
      <xdr:spPr>
        <a:xfrm>
          <a:off x="209550" y="24555449"/>
          <a:ext cx="209550" cy="180975"/>
        </a:xfrm>
        <a:prstGeom prst="ellipse">
          <a:avLst/>
        </a:prstGeom>
        <a:solidFill>
          <a:srgbClr val="FFFF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209550</xdr:colOff>
      <xdr:row>41</xdr:row>
      <xdr:rowOff>428625</xdr:rowOff>
    </xdr:from>
    <xdr:to>
      <xdr:col>0</xdr:col>
      <xdr:colOff>430530</xdr:colOff>
      <xdr:row>41</xdr:row>
      <xdr:rowOff>649605</xdr:rowOff>
    </xdr:to>
    <xdr:sp macro="" textlink="">
      <xdr:nvSpPr>
        <xdr:cNvPr id="78" name="Oval 33"/>
        <xdr:cNvSpPr/>
      </xdr:nvSpPr>
      <xdr:spPr>
        <a:xfrm>
          <a:off x="209550" y="25984200"/>
          <a:ext cx="220980" cy="220980"/>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247650</xdr:colOff>
      <xdr:row>42</xdr:row>
      <xdr:rowOff>352425</xdr:rowOff>
    </xdr:from>
    <xdr:to>
      <xdr:col>0</xdr:col>
      <xdr:colOff>468630</xdr:colOff>
      <xdr:row>42</xdr:row>
      <xdr:rowOff>573405</xdr:rowOff>
    </xdr:to>
    <xdr:sp macro="" textlink="">
      <xdr:nvSpPr>
        <xdr:cNvPr id="79" name="Oval 33"/>
        <xdr:cNvSpPr/>
      </xdr:nvSpPr>
      <xdr:spPr>
        <a:xfrm>
          <a:off x="247650" y="26870025"/>
          <a:ext cx="220980" cy="220980"/>
        </a:xfrm>
        <a:prstGeom prst="ellipse">
          <a:avLst/>
        </a:prstGeom>
        <a:solidFill>
          <a:srgbClr val="FFFF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238125</xdr:colOff>
      <xdr:row>43</xdr:row>
      <xdr:rowOff>314325</xdr:rowOff>
    </xdr:from>
    <xdr:to>
      <xdr:col>0</xdr:col>
      <xdr:colOff>459105</xdr:colOff>
      <xdr:row>43</xdr:row>
      <xdr:rowOff>516255</xdr:rowOff>
    </xdr:to>
    <xdr:sp macro="" textlink="">
      <xdr:nvSpPr>
        <xdr:cNvPr id="80" name="Oval 33"/>
        <xdr:cNvSpPr/>
      </xdr:nvSpPr>
      <xdr:spPr>
        <a:xfrm>
          <a:off x="238125" y="27489150"/>
          <a:ext cx="220980" cy="201930"/>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238125</xdr:colOff>
      <xdr:row>45</xdr:row>
      <xdr:rowOff>323850</xdr:rowOff>
    </xdr:from>
    <xdr:to>
      <xdr:col>0</xdr:col>
      <xdr:colOff>459105</xdr:colOff>
      <xdr:row>45</xdr:row>
      <xdr:rowOff>516255</xdr:rowOff>
    </xdr:to>
    <xdr:sp macro="" textlink="">
      <xdr:nvSpPr>
        <xdr:cNvPr id="81" name="Oval 33"/>
        <xdr:cNvSpPr/>
      </xdr:nvSpPr>
      <xdr:spPr>
        <a:xfrm>
          <a:off x="238125" y="28641675"/>
          <a:ext cx="220980" cy="192405"/>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209550</xdr:colOff>
      <xdr:row>46</xdr:row>
      <xdr:rowOff>323850</xdr:rowOff>
    </xdr:from>
    <xdr:to>
      <xdr:col>0</xdr:col>
      <xdr:colOff>430530</xdr:colOff>
      <xdr:row>46</xdr:row>
      <xdr:rowOff>487680</xdr:rowOff>
    </xdr:to>
    <xdr:sp macro="" textlink="">
      <xdr:nvSpPr>
        <xdr:cNvPr id="82" name="Oval 33"/>
        <xdr:cNvSpPr/>
      </xdr:nvSpPr>
      <xdr:spPr>
        <a:xfrm>
          <a:off x="209550" y="29289375"/>
          <a:ext cx="220980" cy="163830"/>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219075</xdr:colOff>
      <xdr:row>47</xdr:row>
      <xdr:rowOff>361950</xdr:rowOff>
    </xdr:from>
    <xdr:to>
      <xdr:col>0</xdr:col>
      <xdr:colOff>440055</xdr:colOff>
      <xdr:row>47</xdr:row>
      <xdr:rowOff>525780</xdr:rowOff>
    </xdr:to>
    <xdr:sp macro="" textlink="">
      <xdr:nvSpPr>
        <xdr:cNvPr id="83" name="Oval 33"/>
        <xdr:cNvSpPr/>
      </xdr:nvSpPr>
      <xdr:spPr>
        <a:xfrm>
          <a:off x="219075" y="29946600"/>
          <a:ext cx="220980" cy="163830"/>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219075</xdr:colOff>
      <xdr:row>48</xdr:row>
      <xdr:rowOff>371475</xdr:rowOff>
    </xdr:from>
    <xdr:to>
      <xdr:col>0</xdr:col>
      <xdr:colOff>428625</xdr:colOff>
      <xdr:row>48</xdr:row>
      <xdr:rowOff>523875</xdr:rowOff>
    </xdr:to>
    <xdr:sp macro="" textlink="">
      <xdr:nvSpPr>
        <xdr:cNvPr id="84" name="Oval 33"/>
        <xdr:cNvSpPr/>
      </xdr:nvSpPr>
      <xdr:spPr>
        <a:xfrm>
          <a:off x="219075" y="30575250"/>
          <a:ext cx="209550" cy="152400"/>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209550</xdr:colOff>
      <xdr:row>50</xdr:row>
      <xdr:rowOff>457200</xdr:rowOff>
    </xdr:from>
    <xdr:to>
      <xdr:col>0</xdr:col>
      <xdr:colOff>430530</xdr:colOff>
      <xdr:row>50</xdr:row>
      <xdr:rowOff>678180</xdr:rowOff>
    </xdr:to>
    <xdr:sp macro="" textlink="">
      <xdr:nvSpPr>
        <xdr:cNvPr id="85" name="Oval 33"/>
        <xdr:cNvSpPr/>
      </xdr:nvSpPr>
      <xdr:spPr>
        <a:xfrm>
          <a:off x="209550" y="31765875"/>
          <a:ext cx="220980" cy="201930"/>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209550</xdr:colOff>
      <xdr:row>51</xdr:row>
      <xdr:rowOff>457200</xdr:rowOff>
    </xdr:from>
    <xdr:to>
      <xdr:col>0</xdr:col>
      <xdr:colOff>430530</xdr:colOff>
      <xdr:row>51</xdr:row>
      <xdr:rowOff>678180</xdr:rowOff>
    </xdr:to>
    <xdr:sp macro="" textlink="">
      <xdr:nvSpPr>
        <xdr:cNvPr id="86" name="Oval 33"/>
        <xdr:cNvSpPr/>
      </xdr:nvSpPr>
      <xdr:spPr>
        <a:xfrm>
          <a:off x="209550" y="32423100"/>
          <a:ext cx="220980" cy="220980"/>
        </a:xfrm>
        <a:prstGeom prst="ellipse">
          <a:avLst/>
        </a:prstGeom>
        <a:solidFill>
          <a:srgbClr val="FFFF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0</xdr:col>
      <xdr:colOff>209550</xdr:colOff>
      <xdr:row>52</xdr:row>
      <xdr:rowOff>457200</xdr:rowOff>
    </xdr:from>
    <xdr:to>
      <xdr:col>0</xdr:col>
      <xdr:colOff>430530</xdr:colOff>
      <xdr:row>52</xdr:row>
      <xdr:rowOff>678180</xdr:rowOff>
    </xdr:to>
    <xdr:sp macro="" textlink="">
      <xdr:nvSpPr>
        <xdr:cNvPr id="87" name="Oval 33"/>
        <xdr:cNvSpPr/>
      </xdr:nvSpPr>
      <xdr:spPr>
        <a:xfrm>
          <a:off x="209550" y="33099375"/>
          <a:ext cx="220980" cy="220980"/>
        </a:xfrm>
        <a:prstGeom prst="ellipse">
          <a:avLst/>
        </a:prstGeom>
        <a:solidFill>
          <a:srgbClr val="FF0000"/>
        </a:solidFill>
        <a:ln w="9525" cap="flat" cmpd="sng" algn="ctr">
          <a:noFill/>
          <a:prstDash val="solid"/>
        </a:ln>
        <a:effectLst/>
      </xdr:spPr>
      <xdr:txBody>
        <a:bodyPr wrap="square"/>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857250</xdr:colOff>
      <xdr:row>23</xdr:row>
      <xdr:rowOff>9525</xdr:rowOff>
    </xdr:from>
    <xdr:to>
      <xdr:col>9</xdr:col>
      <xdr:colOff>619125</xdr:colOff>
      <xdr:row>36</xdr:row>
      <xdr:rowOff>133350</xdr:rowOff>
    </xdr:to>
    <xdr:graphicFrame macro="">
      <xdr:nvGraphicFramePr>
        <xdr:cNvPr id="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1619250</xdr:colOff>
      <xdr:row>17</xdr:row>
      <xdr:rowOff>4762</xdr:rowOff>
    </xdr:from>
    <xdr:to>
      <xdr:col>4</xdr:col>
      <xdr:colOff>238125</xdr:colOff>
      <xdr:row>30</xdr:row>
      <xdr:rowOff>147637</xdr:rowOff>
    </xdr:to>
    <xdr:graphicFrame macro="">
      <xdr:nvGraphicFramePr>
        <xdr:cNvPr id="3" name="2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B132"/>
  <sheetViews>
    <sheetView tabSelected="1" topLeftCell="A42" zoomScale="70" zoomScaleNormal="70" workbookViewId="0">
      <selection activeCell="D44" sqref="D44"/>
    </sheetView>
  </sheetViews>
  <sheetFormatPr baseColWidth="10" defaultColWidth="0" defaultRowHeight="15.75" zeroHeight="1" x14ac:dyDescent="0.25"/>
  <cols>
    <col min="1" max="1" width="3.625" style="4" customWidth="1"/>
    <col min="2" max="2" width="8.25" style="4" customWidth="1"/>
    <col min="3" max="3" width="57.125" style="4" customWidth="1"/>
    <col min="4" max="4" width="41.125" style="4" customWidth="1"/>
    <col min="5" max="5" width="13.375" style="4" customWidth="1"/>
    <col min="6" max="6" width="56.125" style="4" customWidth="1"/>
    <col min="7" max="7" width="24.875" style="4" customWidth="1"/>
    <col min="8" max="9" width="3.25" style="14" customWidth="1"/>
    <col min="10" max="10" width="3.25" style="37" customWidth="1"/>
    <col min="11" max="11" width="17.875" style="4" hidden="1" customWidth="1"/>
    <col min="12" max="54" width="0.125" style="4" hidden="1" customWidth="1"/>
    <col min="55" max="16384" width="1.125" style="4" hidden="1"/>
  </cols>
  <sheetData>
    <row r="1" spans="2:10" ht="15" customHeight="1" x14ac:dyDescent="0.5">
      <c r="B1" s="5"/>
      <c r="C1" s="108" t="s">
        <v>147</v>
      </c>
      <c r="D1" s="108"/>
      <c r="E1" s="108"/>
      <c r="F1" s="108"/>
      <c r="G1" s="109" t="s">
        <v>148</v>
      </c>
      <c r="H1" s="4"/>
      <c r="I1" s="4"/>
      <c r="J1" s="4"/>
    </row>
    <row r="2" spans="2:10" ht="15" customHeight="1" x14ac:dyDescent="0.5">
      <c r="B2" s="5"/>
      <c r="C2" s="108"/>
      <c r="D2" s="108"/>
      <c r="E2" s="108"/>
      <c r="F2" s="108"/>
      <c r="G2" s="109"/>
      <c r="H2" s="4"/>
      <c r="I2" s="4"/>
      <c r="J2" s="4"/>
    </row>
    <row r="3" spans="2:10" ht="15" customHeight="1" x14ac:dyDescent="0.5">
      <c r="B3" s="5"/>
      <c r="C3" s="108"/>
      <c r="D3" s="108"/>
      <c r="E3" s="108"/>
      <c r="F3" s="108"/>
      <c r="G3" s="109"/>
      <c r="H3" s="4"/>
      <c r="I3" s="4"/>
      <c r="J3" s="4"/>
    </row>
    <row r="4" spans="2:10" ht="27" customHeight="1" x14ac:dyDescent="0.25">
      <c r="H4" s="4"/>
      <c r="I4" s="4"/>
      <c r="J4" s="4"/>
    </row>
    <row r="5" spans="2:10" x14ac:dyDescent="0.25">
      <c r="B5" s="110" t="s">
        <v>157</v>
      </c>
      <c r="C5" s="111"/>
      <c r="D5" s="111"/>
      <c r="E5" s="111"/>
      <c r="F5" s="112" t="s">
        <v>158</v>
      </c>
      <c r="G5" s="113"/>
      <c r="H5" s="4"/>
      <c r="I5" s="4"/>
      <c r="J5" s="4"/>
    </row>
    <row r="6" spans="2:10" ht="15.95" customHeight="1" x14ac:dyDescent="0.25">
      <c r="B6" s="96"/>
      <c r="C6" s="97"/>
      <c r="D6" s="97"/>
      <c r="E6" s="97"/>
      <c r="F6" s="114"/>
      <c r="G6" s="115"/>
      <c r="H6" s="4"/>
      <c r="I6" s="4"/>
      <c r="J6" s="4"/>
    </row>
    <row r="7" spans="2:10" x14ac:dyDescent="0.25">
      <c r="B7" s="6"/>
      <c r="C7" s="7"/>
      <c r="D7" s="7"/>
      <c r="E7" s="7"/>
      <c r="G7" s="8"/>
      <c r="H7" s="4"/>
      <c r="I7" s="4"/>
      <c r="J7" s="4"/>
    </row>
    <row r="8" spans="2:10" ht="27.95" customHeight="1" x14ac:dyDescent="0.35">
      <c r="B8" s="9"/>
      <c r="C8" s="10" t="s">
        <v>0</v>
      </c>
      <c r="D8" s="11"/>
      <c r="E8" s="11"/>
      <c r="F8" s="12"/>
      <c r="G8" s="8"/>
      <c r="H8" s="4"/>
      <c r="I8" s="4"/>
      <c r="J8" s="4"/>
    </row>
    <row r="9" spans="2:10" ht="27.95" customHeight="1" x14ac:dyDescent="0.35">
      <c r="B9" s="9"/>
      <c r="C9" s="10" t="s">
        <v>1</v>
      </c>
      <c r="D9" s="11"/>
      <c r="E9" s="13"/>
      <c r="F9" s="12"/>
      <c r="G9" s="8"/>
      <c r="H9" s="4"/>
      <c r="I9" s="4"/>
      <c r="J9" s="4"/>
    </row>
    <row r="10" spans="2:10" ht="27.95" customHeight="1" x14ac:dyDescent="0.35">
      <c r="B10" s="9"/>
      <c r="C10" s="10" t="s">
        <v>2</v>
      </c>
      <c r="D10" s="116"/>
      <c r="E10" s="116"/>
      <c r="F10" s="12"/>
      <c r="G10" s="8"/>
      <c r="H10" s="4"/>
      <c r="I10" s="4"/>
      <c r="J10" s="4"/>
    </row>
    <row r="11" spans="2:10" ht="27.95" customHeight="1" x14ac:dyDescent="0.35">
      <c r="B11" s="9"/>
      <c r="C11" s="10" t="s">
        <v>83</v>
      </c>
      <c r="D11" s="11"/>
      <c r="E11" s="11"/>
      <c r="F11" s="12"/>
      <c r="G11" s="8"/>
      <c r="H11" s="4"/>
      <c r="I11" s="4"/>
      <c r="J11" s="4"/>
    </row>
    <row r="12" spans="2:10" ht="27.95" customHeight="1" x14ac:dyDescent="0.35">
      <c r="B12" s="9"/>
      <c r="C12" s="10" t="s">
        <v>149</v>
      </c>
      <c r="D12" s="11"/>
      <c r="E12" s="11"/>
      <c r="F12" s="12"/>
      <c r="G12" s="8"/>
      <c r="H12" s="4"/>
      <c r="I12" s="4"/>
      <c r="J12" s="4"/>
    </row>
    <row r="13" spans="2:10" ht="27.95" customHeight="1" x14ac:dyDescent="0.35">
      <c r="B13" s="6"/>
      <c r="C13" s="10" t="s">
        <v>3</v>
      </c>
      <c r="D13" s="13"/>
      <c r="E13" s="13"/>
      <c r="F13" s="13"/>
      <c r="G13" s="8"/>
      <c r="H13" s="4"/>
      <c r="I13" s="4"/>
      <c r="J13" s="4"/>
    </row>
    <row r="14" spans="2:10" ht="27.95" customHeight="1" x14ac:dyDescent="0.35">
      <c r="B14" s="9"/>
      <c r="C14" s="10" t="s">
        <v>4</v>
      </c>
      <c r="D14" s="11"/>
      <c r="E14" s="11"/>
      <c r="F14" s="12"/>
      <c r="G14" s="8"/>
      <c r="J14" s="4"/>
    </row>
    <row r="15" spans="2:10" x14ac:dyDescent="0.25">
      <c r="B15" s="9"/>
      <c r="G15" s="8"/>
      <c r="J15" s="4"/>
    </row>
    <row r="16" spans="2:10" x14ac:dyDescent="0.25">
      <c r="B16" s="96" t="s">
        <v>5</v>
      </c>
      <c r="C16" s="97"/>
      <c r="D16" s="97"/>
      <c r="E16" s="97"/>
      <c r="F16" s="97"/>
      <c r="G16" s="98"/>
      <c r="J16" s="4"/>
    </row>
    <row r="17" spans="2:10" ht="15.95" customHeight="1" x14ac:dyDescent="0.25">
      <c r="B17" s="96"/>
      <c r="C17" s="97"/>
      <c r="D17" s="97"/>
      <c r="E17" s="97"/>
      <c r="F17" s="97"/>
      <c r="G17" s="98"/>
      <c r="J17" s="4"/>
    </row>
    <row r="18" spans="2:10" ht="45.75" customHeight="1" x14ac:dyDescent="0.25">
      <c r="B18" s="93" t="s">
        <v>159</v>
      </c>
      <c r="C18" s="94"/>
      <c r="D18" s="94"/>
      <c r="E18" s="94"/>
      <c r="F18" s="94"/>
      <c r="G18" s="95"/>
      <c r="J18" s="4"/>
    </row>
    <row r="19" spans="2:10" x14ac:dyDescent="0.25">
      <c r="B19" s="6"/>
      <c r="C19" s="7"/>
      <c r="D19" s="7"/>
      <c r="E19" s="7"/>
      <c r="F19" s="7"/>
      <c r="G19" s="8"/>
      <c r="J19" s="4"/>
    </row>
    <row r="20" spans="2:10" ht="18" customHeight="1" x14ac:dyDescent="0.25">
      <c r="B20" s="96" t="s">
        <v>6</v>
      </c>
      <c r="C20" s="97"/>
      <c r="D20" s="97"/>
      <c r="E20" s="97"/>
      <c r="F20" s="97"/>
      <c r="G20" s="98"/>
      <c r="J20" s="4"/>
    </row>
    <row r="21" spans="2:10" ht="18" customHeight="1" x14ac:dyDescent="0.25">
      <c r="B21" s="96"/>
      <c r="C21" s="97"/>
      <c r="D21" s="97"/>
      <c r="E21" s="97"/>
      <c r="F21" s="97"/>
      <c r="G21" s="98"/>
      <c r="J21" s="4"/>
    </row>
    <row r="22" spans="2:10" ht="39.950000000000003" customHeight="1" x14ac:dyDescent="0.25">
      <c r="B22" s="99" t="s">
        <v>160</v>
      </c>
      <c r="C22" s="100"/>
      <c r="D22" s="100"/>
      <c r="E22" s="100"/>
      <c r="F22" s="100"/>
      <c r="G22" s="101"/>
      <c r="J22" s="4"/>
    </row>
    <row r="23" spans="2:10" x14ac:dyDescent="0.25">
      <c r="B23" s="15"/>
      <c r="C23" s="16"/>
      <c r="D23" s="16"/>
      <c r="E23" s="16"/>
      <c r="F23" s="16"/>
      <c r="G23" s="17"/>
      <c r="J23" s="4"/>
    </row>
    <row r="24" spans="2:10" ht="23.1" customHeight="1" x14ac:dyDescent="0.35">
      <c r="I24" s="18" t="s">
        <v>7</v>
      </c>
      <c r="J24" s="4"/>
    </row>
    <row r="25" spans="2:10" ht="32.1" customHeight="1" x14ac:dyDescent="0.35">
      <c r="B25" s="19"/>
      <c r="C25" s="20"/>
      <c r="D25" s="102"/>
      <c r="E25" s="102"/>
      <c r="F25" s="21"/>
      <c r="G25" s="22"/>
      <c r="I25" s="18" t="s">
        <v>8</v>
      </c>
      <c r="J25" s="4"/>
    </row>
    <row r="26" spans="2:10" ht="23.1" customHeight="1" x14ac:dyDescent="0.35">
      <c r="I26" s="18" t="s">
        <v>9</v>
      </c>
      <c r="J26" s="4"/>
    </row>
    <row r="27" spans="2:10" ht="15" customHeight="1" x14ac:dyDescent="0.25">
      <c r="B27" s="103" t="s">
        <v>10</v>
      </c>
      <c r="C27" s="103"/>
      <c r="D27" s="103" t="s">
        <v>11</v>
      </c>
      <c r="E27" s="103"/>
      <c r="F27" s="103"/>
      <c r="G27" s="103"/>
      <c r="J27" s="4"/>
    </row>
    <row r="28" spans="2:10" ht="24" customHeight="1" x14ac:dyDescent="0.25">
      <c r="B28" s="103"/>
      <c r="C28" s="103"/>
      <c r="D28" s="103"/>
      <c r="E28" s="103"/>
      <c r="F28" s="103"/>
      <c r="G28" s="103"/>
      <c r="J28" s="4"/>
    </row>
    <row r="29" spans="2:10" ht="39.950000000000003" customHeight="1" x14ac:dyDescent="0.25">
      <c r="B29" s="23" t="s">
        <v>12</v>
      </c>
      <c r="C29" s="24" t="s">
        <v>153</v>
      </c>
      <c r="D29" s="24" t="s">
        <v>14</v>
      </c>
      <c r="E29" s="25" t="s">
        <v>15</v>
      </c>
      <c r="F29" s="84" t="s">
        <v>16</v>
      </c>
      <c r="G29" s="84"/>
      <c r="J29" s="4"/>
    </row>
    <row r="30" spans="2:10" s="31" customFormat="1" ht="134.25" customHeight="1" x14ac:dyDescent="0.25">
      <c r="B30" s="26">
        <v>1</v>
      </c>
      <c r="C30" s="27" t="s">
        <v>209</v>
      </c>
      <c r="D30" s="69" t="s">
        <v>150</v>
      </c>
      <c r="E30" s="28" t="s">
        <v>8</v>
      </c>
      <c r="F30" s="104" t="str">
        <f t="shared" ref="F30:F35" si="0">+IF(E30="NO",I30,"")</f>
        <v xml:space="preserve">Nombrar un equipo o persona encargada del protocolo, con las siguiente funciones principales: Liderar las tareas de identificación y caracterización del riesgo, verificar que se mantenga actualizada y disponible la documentación fiscalizable asociada al protocolo y controlar y gestionar todas las etapas necesarias para el cumplimiento del protocolo.
</v>
      </c>
      <c r="G30" s="105"/>
      <c r="H30" s="29">
        <v>1</v>
      </c>
      <c r="I30" s="79" t="s">
        <v>161</v>
      </c>
      <c r="J30" s="30">
        <v>1</v>
      </c>
    </row>
    <row r="31" spans="2:10" s="31" customFormat="1" ht="108.75" customHeight="1" x14ac:dyDescent="0.25">
      <c r="B31" s="26">
        <v>2</v>
      </c>
      <c r="C31" s="77" t="s">
        <v>166</v>
      </c>
      <c r="D31" s="27" t="s">
        <v>210</v>
      </c>
      <c r="E31" s="28" t="s">
        <v>8</v>
      </c>
      <c r="F31" s="106" t="str">
        <f>+IF(E31="NO",I31,"")</f>
        <v>Se debe hacer un inventario de todas las sustancias, químicas, biológicas o vegetales, que puedan causar dermatitis y revisar los procesos, tareas y actividades en las cuales el personal tiene contacto con éstas y por lo tanto podría tener una exposición que requiere la vigilancia de su salud y del ambiente de trabajo.</v>
      </c>
      <c r="G31" s="107"/>
      <c r="H31" s="29">
        <v>1</v>
      </c>
      <c r="I31" s="79" t="s">
        <v>162</v>
      </c>
      <c r="J31" s="30">
        <v>1</v>
      </c>
    </row>
    <row r="32" spans="2:10" s="31" customFormat="1" ht="66.95" customHeight="1" x14ac:dyDescent="0.25">
      <c r="B32" s="26">
        <v>3</v>
      </c>
      <c r="C32" s="77" t="s">
        <v>163</v>
      </c>
      <c r="D32" s="27" t="s">
        <v>164</v>
      </c>
      <c r="E32" s="28" t="s">
        <v>8</v>
      </c>
      <c r="F32" s="83" t="str">
        <f t="shared" si="0"/>
        <v xml:space="preserve">Realizar capacitación sobre riesgos de las sustancias irritantes y sensibilizantes, medidas de control y métodos de trabajo correcto.
</v>
      </c>
      <c r="G32" s="83"/>
      <c r="H32" s="29">
        <v>2</v>
      </c>
      <c r="I32" s="29" t="s">
        <v>165</v>
      </c>
      <c r="J32" s="30">
        <v>1</v>
      </c>
    </row>
    <row r="33" spans="2:11" s="31" customFormat="1" ht="114.75" customHeight="1" x14ac:dyDescent="0.25">
      <c r="B33" s="26">
        <v>4</v>
      </c>
      <c r="C33" s="80" t="s">
        <v>167</v>
      </c>
      <c r="D33" s="35" t="s">
        <v>169</v>
      </c>
      <c r="E33" s="28" t="s">
        <v>8</v>
      </c>
      <c r="F33" s="87" t="str">
        <f t="shared" si="0"/>
        <v xml:space="preserve">Es necesario registrar, en medio digital o papel, al menos la siguiente
información: Nombre comercial o común de la sustancia, nombre químico si corresponde, estado físico en el cual se utiliza, material o producto en el cual está contenida la sustancia y clasificación de peligro según frase R si corresponde.
</v>
      </c>
      <c r="G33" s="88"/>
      <c r="H33" s="29">
        <v>1</v>
      </c>
      <c r="I33" s="29" t="s">
        <v>168</v>
      </c>
      <c r="J33" s="33">
        <v>1</v>
      </c>
    </row>
    <row r="34" spans="2:11" s="31" customFormat="1" ht="135" customHeight="1" x14ac:dyDescent="0.25">
      <c r="B34" s="26">
        <v>5</v>
      </c>
      <c r="C34" s="80" t="s">
        <v>170</v>
      </c>
      <c r="D34" s="35" t="s">
        <v>152</v>
      </c>
      <c r="E34" s="28" t="s">
        <v>8</v>
      </c>
      <c r="F34" s="83" t="str">
        <f>+IF(E34="NO",I34,"")</f>
        <v>Como parte de la vigilancia ambiental se deben identificar los puestos de trabajo con exposición a sustancias irritantes o sensibilizantes. Es necesario tener registrado: Tarea o puestos de trabajo, sustancia utilizada,  duración de la exposición, horas/día, frecuencia de la exposición días/semana/mes/año y superficie expuesta. Dejar está información en documento escrito.</v>
      </c>
      <c r="G34" s="83"/>
      <c r="H34" s="29">
        <v>1</v>
      </c>
      <c r="I34" s="32" t="s">
        <v>211</v>
      </c>
      <c r="J34" s="36">
        <v>1</v>
      </c>
    </row>
    <row r="35" spans="2:11" s="31" customFormat="1" ht="141.75" customHeight="1" x14ac:dyDescent="0.25">
      <c r="B35" s="26">
        <v>6</v>
      </c>
      <c r="C35" s="34" t="s">
        <v>171</v>
      </c>
      <c r="D35" s="35" t="s">
        <v>152</v>
      </c>
      <c r="E35" s="28" t="s">
        <v>8</v>
      </c>
      <c r="F35" s="83" t="str">
        <f t="shared" si="0"/>
        <v xml:space="preserve">Como parte de la vigilancia ambiental se debe tener por escrito un listado de trabajadores expuestos con los siguientes datos:Nombres y apellidos del trabajador, RUT, Fecha Nacimiento, Puestos de Trabajo, Antigüedad en el puesto de trabajo (meses/años), sustancias irritantes o sensibilizantes que utiliza.
Este listado debe estar disponible para la Autoridad Sanitaria y la ACHS.
</v>
      </c>
      <c r="G35" s="83"/>
      <c r="H35" s="29">
        <v>2</v>
      </c>
      <c r="I35" s="29" t="s">
        <v>172</v>
      </c>
      <c r="J35" s="36">
        <v>1</v>
      </c>
    </row>
    <row r="36" spans="2:11" s="31" customFormat="1" ht="87" customHeight="1" x14ac:dyDescent="0.25">
      <c r="B36" s="26">
        <f>+B35+1</f>
        <v>7</v>
      </c>
      <c r="C36" s="80" t="s">
        <v>212</v>
      </c>
      <c r="D36" s="35" t="s">
        <v>152</v>
      </c>
      <c r="E36" s="28" t="s">
        <v>8</v>
      </c>
      <c r="F36" s="83" t="str">
        <f>+IF(E36="NO",I36,"")</f>
        <v>Los elementos de protección personal deben ser los indicados en la hoja de datos de seguridad. Deben tener certificación.</v>
      </c>
      <c r="G36" s="83"/>
      <c r="H36" s="29">
        <v>2</v>
      </c>
      <c r="I36" s="32" t="s">
        <v>173</v>
      </c>
      <c r="J36" s="36">
        <v>1</v>
      </c>
    </row>
    <row r="37" spans="2:11" ht="39.950000000000003" customHeight="1" x14ac:dyDescent="0.25">
      <c r="B37" s="23" t="s">
        <v>17</v>
      </c>
      <c r="C37" s="72" t="s">
        <v>174</v>
      </c>
      <c r="D37" s="24" t="s">
        <v>14</v>
      </c>
      <c r="E37" s="25" t="s">
        <v>15</v>
      </c>
      <c r="F37" s="84" t="s">
        <v>16</v>
      </c>
      <c r="G37" s="84"/>
      <c r="I37" s="14" t="s">
        <v>151</v>
      </c>
    </row>
    <row r="38" spans="2:11" s="31" customFormat="1" ht="96.75" customHeight="1" x14ac:dyDescent="0.35">
      <c r="B38" s="26">
        <f>+B36+1</f>
        <v>8</v>
      </c>
      <c r="C38" s="35" t="s">
        <v>179</v>
      </c>
      <c r="D38" s="35" t="s">
        <v>175</v>
      </c>
      <c r="E38" s="28" t="s">
        <v>8</v>
      </c>
      <c r="F38" s="89" t="str">
        <f t="shared" ref="F38:F45" si="1">+IF(E38="NO",I38,"")</f>
        <v xml:space="preserve">Se deben definir los roles y reponsabilidades a lo menos de:Dirección de la empresa, Depto. de Prevención de Riesgos, Equipo o Encargado de Salud Ocupacional, Comité Paritario y Trabajadores. 
</v>
      </c>
      <c r="G38" s="89"/>
      <c r="H38" s="29">
        <v>1</v>
      </c>
      <c r="I38" s="29" t="s">
        <v>213</v>
      </c>
      <c r="J38" s="36">
        <v>2</v>
      </c>
      <c r="K38" s="11" t="s">
        <v>19</v>
      </c>
    </row>
    <row r="39" spans="2:11" s="31" customFormat="1" ht="186.75" customHeight="1" x14ac:dyDescent="0.35">
      <c r="B39" s="26">
        <f>+B38+1</f>
        <v>9</v>
      </c>
      <c r="C39" s="80" t="s">
        <v>177</v>
      </c>
      <c r="D39" s="35" t="s">
        <v>176</v>
      </c>
      <c r="E39" s="28" t="s">
        <v>8</v>
      </c>
      <c r="F39" s="90" t="str">
        <f>+IF(E39="NO",I39,"")</f>
        <v xml:space="preserve">Se recomienda hacer capacitaciones al personal que se expone a sustancias irritantes y sensibilizantes en los siguientes temas: Organización para implementar la vigilancia, antecedentes generales de la dermatitis: Qué es, como se clasifica y efectos en la salud. Trabajador expuesto, trabajos con exposición y factores que influyen en la exposición. Obligaciones de las Empresas. Obligaciones de los Organismos Administradores de la Ley. Vigilancia ambiental y Vigilancia de salud.
</v>
      </c>
      <c r="G39" s="90"/>
      <c r="H39" s="29">
        <v>1</v>
      </c>
      <c r="I39" s="81" t="s">
        <v>214</v>
      </c>
      <c r="J39" s="36">
        <v>2</v>
      </c>
      <c r="K39" s="11"/>
    </row>
    <row r="40" spans="2:11" s="31" customFormat="1" ht="37.5" x14ac:dyDescent="0.35">
      <c r="B40" s="23" t="s">
        <v>18</v>
      </c>
      <c r="C40" s="72" t="s">
        <v>154</v>
      </c>
      <c r="D40" s="24" t="s">
        <v>14</v>
      </c>
      <c r="E40" s="25" t="s">
        <v>15</v>
      </c>
      <c r="F40" s="84" t="s">
        <v>16</v>
      </c>
      <c r="G40" s="84"/>
      <c r="H40" s="29"/>
      <c r="I40" s="74" t="s">
        <v>178</v>
      </c>
      <c r="J40" s="36"/>
      <c r="K40" s="11"/>
    </row>
    <row r="41" spans="2:11" s="31" customFormat="1" ht="63" x14ac:dyDescent="0.25">
      <c r="B41" s="26">
        <f>+B39+1</f>
        <v>10</v>
      </c>
      <c r="C41" s="34" t="s">
        <v>180</v>
      </c>
      <c r="D41" s="38" t="s">
        <v>181</v>
      </c>
      <c r="E41" s="28" t="s">
        <v>8</v>
      </c>
      <c r="F41" s="89" t="str">
        <f>+IF(E41="NO",I41,"")</f>
        <v>Solicitar a ACHS la realización de la evaluación cualitativa.</v>
      </c>
      <c r="G41" s="89"/>
      <c r="H41" s="29">
        <v>1</v>
      </c>
      <c r="I41" s="76" t="s">
        <v>182</v>
      </c>
      <c r="J41" s="36">
        <v>1</v>
      </c>
    </row>
    <row r="42" spans="2:11" s="31" customFormat="1" ht="69.75" customHeight="1" x14ac:dyDescent="0.25">
      <c r="B42" s="26">
        <f t="shared" ref="B42:B45" si="2">+B41+1</f>
        <v>11</v>
      </c>
      <c r="C42" s="80" t="s">
        <v>183</v>
      </c>
      <c r="D42" s="38" t="s">
        <v>184</v>
      </c>
      <c r="E42" s="28" t="s">
        <v>8</v>
      </c>
      <c r="F42" s="83" t="str">
        <f t="shared" si="1"/>
        <v>Hacer plan de acción para dar llevar a cabo todas las exigencias pendientes.</v>
      </c>
      <c r="G42" s="83"/>
      <c r="H42" s="29">
        <v>1</v>
      </c>
      <c r="I42" s="76" t="s">
        <v>185</v>
      </c>
      <c r="J42" s="36">
        <v>1</v>
      </c>
    </row>
    <row r="43" spans="2:11" s="31" customFormat="1" ht="94.5" customHeight="1" x14ac:dyDescent="0.25">
      <c r="B43" s="26">
        <f t="shared" si="2"/>
        <v>12</v>
      </c>
      <c r="C43" s="70" t="s">
        <v>186</v>
      </c>
      <c r="D43" s="38" t="s">
        <v>181</v>
      </c>
      <c r="E43" s="28" t="s">
        <v>8</v>
      </c>
      <c r="F43" s="87" t="str">
        <f t="shared" si="1"/>
        <v xml:space="preserve">Una vez que se hayan implementado todas las prescriciones  indicadas en inform de evaluación de riesgo, se debe solicitar una nueva evaluación (control de cumplimiento)  al Experto ACHS asignado al centro de trabajo. </v>
      </c>
      <c r="G43" s="88"/>
      <c r="H43" s="29">
        <v>1</v>
      </c>
      <c r="I43" s="76" t="s">
        <v>187</v>
      </c>
      <c r="J43" s="36">
        <v>1</v>
      </c>
    </row>
    <row r="44" spans="2:11" s="31" customFormat="1" ht="70.5" customHeight="1" x14ac:dyDescent="0.25">
      <c r="B44" s="26">
        <f t="shared" si="2"/>
        <v>13</v>
      </c>
      <c r="C44" s="40" t="s">
        <v>190</v>
      </c>
      <c r="D44" s="38" t="s">
        <v>188</v>
      </c>
      <c r="E44" s="28" t="s">
        <v>8</v>
      </c>
      <c r="F44" s="90" t="str">
        <f t="shared" si="1"/>
        <v>Enviar a ACHS listado de trabajadores exuestos a sustancias irritantes y sensibilizantes  con los siguientes datos:Nombres y apellidos del trabajador, RUT, Fecha Nacimiento, Puestos de Trabajo, Antigüedad en el puesto de trabajo (meses/años),  sustancias que utiliza.</v>
      </c>
      <c r="G44" s="90"/>
      <c r="H44" s="29">
        <v>1</v>
      </c>
      <c r="I44" s="73" t="s">
        <v>189</v>
      </c>
      <c r="J44" s="36">
        <v>1</v>
      </c>
    </row>
    <row r="45" spans="2:11" s="31" customFormat="1" ht="84.75" customHeight="1" x14ac:dyDescent="0.25">
      <c r="B45" s="26">
        <f t="shared" si="2"/>
        <v>14</v>
      </c>
      <c r="C45" s="41" t="s">
        <v>191</v>
      </c>
      <c r="D45" s="38" t="s">
        <v>155</v>
      </c>
      <c r="E45" s="28" t="s">
        <v>8</v>
      </c>
      <c r="F45" s="91" t="str">
        <f t="shared" si="1"/>
        <v xml:space="preserve">Es obligación de la empresa informar a ACHS en el caso de cambios en los  productos químicos o sustancias que forman parte del inventario de agentes que pueden causar dermatitis.. </v>
      </c>
      <c r="G45" s="92"/>
      <c r="H45" s="29">
        <v>1</v>
      </c>
      <c r="I45" s="73" t="s">
        <v>192</v>
      </c>
      <c r="J45" s="36">
        <v>1</v>
      </c>
    </row>
    <row r="46" spans="2:11" s="31" customFormat="1" ht="42" x14ac:dyDescent="0.25">
      <c r="B46" s="23" t="s">
        <v>20</v>
      </c>
      <c r="C46" s="72" t="s">
        <v>193</v>
      </c>
      <c r="D46" s="24" t="s">
        <v>14</v>
      </c>
      <c r="E46" s="25" t="s">
        <v>15</v>
      </c>
      <c r="F46" s="84" t="s">
        <v>16</v>
      </c>
      <c r="G46" s="84"/>
      <c r="H46" s="29"/>
      <c r="I46" s="73"/>
      <c r="J46" s="36"/>
    </row>
    <row r="47" spans="2:11" s="31" customFormat="1" ht="87.75" customHeight="1" x14ac:dyDescent="0.25">
      <c r="B47" s="26">
        <f>+B45+1</f>
        <v>15</v>
      </c>
      <c r="C47" s="41" t="s">
        <v>194</v>
      </c>
      <c r="D47" s="27" t="s">
        <v>198</v>
      </c>
      <c r="E47" s="28" t="s">
        <v>8</v>
      </c>
      <c r="F47" s="83" t="str">
        <f>+IF(E47="NO",I47,"")</f>
        <v>Hacer un procedimieto escrito para actuar frente a un caso de dermatitis, el cual debe contemplar las siguientes materias: Concurrencia a centro de salud ACHS, llenado de formulario de declaración de enfermedad profesional, investigación de causas de la dermatitis, etc.</v>
      </c>
      <c r="G47" s="83"/>
      <c r="H47" s="29">
        <v>2</v>
      </c>
      <c r="I47" s="32" t="s">
        <v>215</v>
      </c>
      <c r="J47" s="36">
        <v>1</v>
      </c>
    </row>
    <row r="48" spans="2:11" s="31" customFormat="1" ht="105" x14ac:dyDescent="0.25">
      <c r="B48" s="26">
        <f>+B47+1</f>
        <v>16</v>
      </c>
      <c r="C48" s="27" t="s">
        <v>195</v>
      </c>
      <c r="D48" s="69" t="s">
        <v>196</v>
      </c>
      <c r="E48" s="28" t="s">
        <v>8</v>
      </c>
      <c r="F48" s="83" t="str">
        <f>+IF(E48="NO",I48,"")</f>
        <v>Realizar investigación de las circuntancias en las que se ha presentado el caso de dermatitis.</v>
      </c>
      <c r="G48" s="83"/>
      <c r="H48" s="29">
        <v>2</v>
      </c>
      <c r="I48" s="32" t="s">
        <v>197</v>
      </c>
      <c r="J48" s="36">
        <v>1</v>
      </c>
    </row>
    <row r="49" spans="2:10" s="31" customFormat="1" ht="84" x14ac:dyDescent="0.25">
      <c r="B49" s="26">
        <f>+B48+1</f>
        <v>17</v>
      </c>
      <c r="C49" s="78" t="s">
        <v>199</v>
      </c>
      <c r="D49" s="27" t="s">
        <v>200</v>
      </c>
      <c r="E49" s="28" t="s">
        <v>8</v>
      </c>
      <c r="F49" s="83" t="str">
        <f>+IF(E49="NO",I49,"")</f>
        <v>Mantener un archivo con los casos de dermatitis que hayan afectado al personal incluyendo: Datos personales de los afectados, estudios de puestos de trabajo, resolusiones, informes de investigación, informes de evaluaciones, etc.</v>
      </c>
      <c r="G49" s="83"/>
      <c r="H49" s="29">
        <v>1</v>
      </c>
      <c r="I49" s="32" t="s">
        <v>216</v>
      </c>
      <c r="J49" s="36">
        <v>1</v>
      </c>
    </row>
    <row r="50" spans="2:10" ht="39.950000000000003" customHeight="1" x14ac:dyDescent="0.25">
      <c r="B50" s="23" t="s">
        <v>21</v>
      </c>
      <c r="C50" s="24" t="s">
        <v>25</v>
      </c>
      <c r="D50" s="24" t="s">
        <v>14</v>
      </c>
      <c r="E50" s="25" t="s">
        <v>15</v>
      </c>
      <c r="F50" s="84" t="s">
        <v>16</v>
      </c>
      <c r="G50" s="84"/>
    </row>
    <row r="51" spans="2:10" s="31" customFormat="1" ht="84" x14ac:dyDescent="0.25">
      <c r="B51" s="26">
        <f>+B49+1</f>
        <v>18</v>
      </c>
      <c r="C51" s="78" t="s">
        <v>201</v>
      </c>
      <c r="D51" s="27" t="s">
        <v>203</v>
      </c>
      <c r="E51" s="28" t="s">
        <v>8</v>
      </c>
      <c r="F51" s="85" t="str">
        <f>+IF(E51="NO",I51,"")</f>
        <v>Incorporar a programa de vigilancia de salud a los trabajadores que forman parte del Grupo de Exposición Similar (GES) al del trabajador cuya dermatitis fue acogida como laboral, si el informe de evaluación cualitativa realizado por ACHS así lo indica.</v>
      </c>
      <c r="G51" s="86"/>
      <c r="H51" s="29">
        <v>1</v>
      </c>
      <c r="I51" s="32" t="s">
        <v>217</v>
      </c>
      <c r="J51" s="36">
        <v>1</v>
      </c>
    </row>
    <row r="52" spans="2:10" s="31" customFormat="1" ht="63" x14ac:dyDescent="0.25">
      <c r="B52" s="26">
        <f>+B51+1</f>
        <v>19</v>
      </c>
      <c r="C52" s="82" t="s">
        <v>204</v>
      </c>
      <c r="D52" s="71" t="s">
        <v>156</v>
      </c>
      <c r="E52" s="28" t="s">
        <v>8</v>
      </c>
      <c r="F52" s="83" t="str">
        <f>+IF(E52="NO",I52,"")</f>
        <v>Controlar que se cumpla la periodicidad de los examenes que se debe realizar a los trabajadores en vigilancia de acuerdo a lo que se indica en informe de evaluación del riesgo.</v>
      </c>
      <c r="G52" s="83"/>
      <c r="H52" s="29">
        <v>1</v>
      </c>
      <c r="I52" s="32" t="s">
        <v>206</v>
      </c>
      <c r="J52" s="36" t="s">
        <v>205</v>
      </c>
    </row>
    <row r="53" spans="2:10" s="31" customFormat="1" ht="87.75" customHeight="1" x14ac:dyDescent="0.25">
      <c r="B53" s="26">
        <f>+B52+1</f>
        <v>20</v>
      </c>
      <c r="C53" s="75" t="s">
        <v>202</v>
      </c>
      <c r="D53" s="71" t="s">
        <v>208</v>
      </c>
      <c r="E53" s="28" t="s">
        <v>8</v>
      </c>
      <c r="F53" s="87" t="str">
        <f>+IF(E53="NO",I53,"")</f>
        <v>El encargado del personal y/o jefe del proceso donde se desempeña el trabajador debería ser el que autorice u otorgue los permisos y el encargado de salud ocupacional quien lleve un registro de los exámenes realizados.</v>
      </c>
      <c r="G53" s="88"/>
      <c r="H53" s="29">
        <v>1</v>
      </c>
      <c r="I53" s="32" t="s">
        <v>207</v>
      </c>
      <c r="J53" s="36">
        <v>1</v>
      </c>
    </row>
    <row r="54" spans="2:10" ht="21" x14ac:dyDescent="0.25">
      <c r="C54" s="42"/>
    </row>
    <row r="55" spans="2:10" ht="51" customHeight="1" x14ac:dyDescent="0.25">
      <c r="C55" s="42"/>
      <c r="D55" s="42"/>
    </row>
    <row r="56" spans="2:10" ht="21" x14ac:dyDescent="0.25">
      <c r="C56" s="42"/>
    </row>
    <row r="57" spans="2:10" ht="36" customHeight="1" x14ac:dyDescent="0.25">
      <c r="C57" s="42"/>
    </row>
    <row r="58" spans="2:10" ht="21" hidden="1" x14ac:dyDescent="0.25">
      <c r="C58" s="42"/>
    </row>
    <row r="59" spans="2:10" ht="21" hidden="1" x14ac:dyDescent="0.25">
      <c r="C59" s="42"/>
    </row>
    <row r="60" spans="2:10" ht="21" hidden="1" x14ac:dyDescent="0.25">
      <c r="C60" s="42"/>
    </row>
    <row r="61" spans="2:10" ht="21" hidden="1" x14ac:dyDescent="0.25">
      <c r="C61" s="42"/>
    </row>
    <row r="62" spans="2:10" ht="21" hidden="1" x14ac:dyDescent="0.25">
      <c r="C62" s="42"/>
    </row>
    <row r="63" spans="2:10" ht="21" hidden="1" x14ac:dyDescent="0.25">
      <c r="C63" s="42"/>
    </row>
    <row r="64" spans="2:10" ht="21" hidden="1" x14ac:dyDescent="0.25">
      <c r="C64" s="42"/>
    </row>
    <row r="65" spans="3:10" ht="21" hidden="1" x14ac:dyDescent="0.25">
      <c r="C65" s="42"/>
    </row>
    <row r="66" spans="3:10" ht="21" hidden="1" x14ac:dyDescent="0.25">
      <c r="C66" s="42"/>
    </row>
    <row r="67" spans="3:10" ht="21" hidden="1" x14ac:dyDescent="0.25">
      <c r="C67" s="42"/>
    </row>
    <row r="68" spans="3:10" ht="21" hidden="1" x14ac:dyDescent="0.25">
      <c r="C68" s="42"/>
      <c r="H68" s="4"/>
      <c r="I68" s="4"/>
      <c r="J68" s="4"/>
    </row>
    <row r="69" spans="3:10" ht="21" hidden="1" x14ac:dyDescent="0.25">
      <c r="C69" s="42"/>
      <c r="H69" s="4"/>
      <c r="I69" s="4"/>
      <c r="J69" s="4"/>
    </row>
    <row r="70" spans="3:10" ht="21" hidden="1" x14ac:dyDescent="0.25">
      <c r="C70" s="42"/>
      <c r="H70" s="4"/>
      <c r="I70" s="4"/>
      <c r="J70" s="4"/>
    </row>
    <row r="71" spans="3:10" ht="21" hidden="1" x14ac:dyDescent="0.25">
      <c r="C71" s="42"/>
      <c r="H71" s="4"/>
      <c r="I71" s="4"/>
      <c r="J71" s="4"/>
    </row>
    <row r="72" spans="3:10" ht="21" hidden="1" x14ac:dyDescent="0.25">
      <c r="C72" s="42"/>
      <c r="H72" s="4"/>
      <c r="I72" s="4"/>
      <c r="J72" s="4"/>
    </row>
    <row r="73" spans="3:10" ht="21" hidden="1" x14ac:dyDescent="0.25">
      <c r="C73" s="42"/>
      <c r="H73" s="4"/>
      <c r="I73" s="4"/>
      <c r="J73" s="4"/>
    </row>
    <row r="74" spans="3:10" ht="21" hidden="1" x14ac:dyDescent="0.25">
      <c r="C74" s="42"/>
      <c r="H74" s="4"/>
      <c r="I74" s="4"/>
      <c r="J74" s="4"/>
    </row>
    <row r="75" spans="3:10" ht="21" hidden="1" x14ac:dyDescent="0.25">
      <c r="C75" s="42"/>
      <c r="H75" s="4"/>
      <c r="I75" s="4"/>
      <c r="J75" s="4"/>
    </row>
    <row r="76" spans="3:10" ht="21" hidden="1" x14ac:dyDescent="0.25">
      <c r="C76" s="42"/>
      <c r="H76" s="4"/>
      <c r="I76" s="4"/>
      <c r="J76" s="4"/>
    </row>
    <row r="77" spans="3:10" ht="21" hidden="1" x14ac:dyDescent="0.25">
      <c r="C77" s="42"/>
      <c r="H77" s="4"/>
      <c r="I77" s="4"/>
      <c r="J77" s="4"/>
    </row>
    <row r="78" spans="3:10" ht="21" hidden="1" x14ac:dyDescent="0.25">
      <c r="C78" s="42"/>
      <c r="H78" s="4"/>
      <c r="I78" s="4"/>
      <c r="J78" s="4"/>
    </row>
    <row r="79" spans="3:10" ht="21" hidden="1" x14ac:dyDescent="0.25">
      <c r="C79" s="42"/>
      <c r="H79" s="4"/>
      <c r="I79" s="4"/>
      <c r="J79" s="4"/>
    </row>
    <row r="80" spans="3:10" ht="21" hidden="1" x14ac:dyDescent="0.25">
      <c r="C80" s="42"/>
      <c r="H80" s="4"/>
      <c r="I80" s="4"/>
      <c r="J80" s="4"/>
    </row>
    <row r="81" spans="3:10" ht="21" hidden="1" x14ac:dyDescent="0.25">
      <c r="C81" s="42"/>
      <c r="H81" s="4"/>
      <c r="I81" s="4"/>
      <c r="J81" s="4"/>
    </row>
    <row r="82" spans="3:10" ht="21" hidden="1" x14ac:dyDescent="0.25">
      <c r="C82" s="42"/>
      <c r="H82" s="4"/>
      <c r="I82" s="4"/>
      <c r="J82" s="4"/>
    </row>
    <row r="83" spans="3:10" ht="21" hidden="1" x14ac:dyDescent="0.25">
      <c r="C83" s="42"/>
      <c r="H83" s="4"/>
      <c r="I83" s="4"/>
      <c r="J83" s="4"/>
    </row>
    <row r="84" spans="3:10" ht="21" hidden="1" x14ac:dyDescent="0.25">
      <c r="C84" s="42"/>
      <c r="H84" s="4"/>
      <c r="I84" s="4"/>
      <c r="J84" s="4"/>
    </row>
    <row r="85" spans="3:10" ht="21" hidden="1" x14ac:dyDescent="0.25">
      <c r="C85" s="42"/>
      <c r="H85" s="4"/>
      <c r="I85" s="4"/>
      <c r="J85" s="4"/>
    </row>
    <row r="86" spans="3:10" ht="21" hidden="1" x14ac:dyDescent="0.25">
      <c r="C86" s="42"/>
      <c r="H86" s="4"/>
      <c r="I86" s="4"/>
      <c r="J86" s="4"/>
    </row>
    <row r="87" spans="3:10" ht="21" hidden="1" x14ac:dyDescent="0.25">
      <c r="C87" s="42"/>
      <c r="H87" s="4"/>
      <c r="I87" s="4"/>
      <c r="J87" s="4"/>
    </row>
    <row r="88" spans="3:10" ht="21" hidden="1" x14ac:dyDescent="0.25">
      <c r="C88" s="42"/>
      <c r="H88" s="4"/>
      <c r="I88" s="4"/>
      <c r="J88" s="4"/>
    </row>
    <row r="89" spans="3:10" ht="21" hidden="1" x14ac:dyDescent="0.25">
      <c r="C89" s="42"/>
      <c r="H89" s="4"/>
      <c r="I89" s="4"/>
      <c r="J89" s="4"/>
    </row>
    <row r="90" spans="3:10" ht="21" hidden="1" x14ac:dyDescent="0.25">
      <c r="C90" s="42"/>
      <c r="H90" s="4"/>
      <c r="I90" s="4"/>
      <c r="J90" s="4"/>
    </row>
    <row r="91" spans="3:10" ht="21" hidden="1" x14ac:dyDescent="0.25">
      <c r="C91" s="42"/>
      <c r="H91" s="4"/>
      <c r="I91" s="4"/>
      <c r="J91" s="4"/>
    </row>
    <row r="92" spans="3:10" ht="21" hidden="1" x14ac:dyDescent="0.25">
      <c r="C92" s="42"/>
      <c r="H92" s="4"/>
      <c r="I92" s="4"/>
      <c r="J92" s="4"/>
    </row>
    <row r="93" spans="3:10" ht="21" hidden="1" x14ac:dyDescent="0.25">
      <c r="C93" s="42"/>
      <c r="H93" s="4"/>
      <c r="I93" s="4"/>
      <c r="J93" s="4"/>
    </row>
    <row r="94" spans="3:10" ht="21" hidden="1" x14ac:dyDescent="0.25">
      <c r="C94" s="42"/>
      <c r="H94" s="4"/>
      <c r="I94" s="4"/>
      <c r="J94" s="4"/>
    </row>
    <row r="95" spans="3:10" ht="21" hidden="1" x14ac:dyDescent="0.25">
      <c r="C95" s="42"/>
      <c r="H95" s="4"/>
      <c r="I95" s="4"/>
      <c r="J95" s="4"/>
    </row>
    <row r="96" spans="3:10" ht="21" hidden="1" x14ac:dyDescent="0.25">
      <c r="C96" s="42"/>
      <c r="H96" s="4"/>
      <c r="I96" s="4"/>
      <c r="J96" s="4"/>
    </row>
    <row r="97" spans="3:10" ht="21" hidden="1" x14ac:dyDescent="0.25">
      <c r="C97" s="42"/>
      <c r="H97" s="4"/>
      <c r="I97" s="4"/>
      <c r="J97" s="4"/>
    </row>
    <row r="98" spans="3:10" ht="21" hidden="1" x14ac:dyDescent="0.25">
      <c r="C98" s="42"/>
      <c r="H98" s="4"/>
      <c r="I98" s="4"/>
      <c r="J98" s="4"/>
    </row>
    <row r="99" spans="3:10" ht="21" hidden="1" x14ac:dyDescent="0.25">
      <c r="C99" s="42"/>
      <c r="H99" s="4"/>
      <c r="I99" s="4"/>
      <c r="J99" s="4"/>
    </row>
    <row r="100" spans="3:10" ht="21" hidden="1" x14ac:dyDescent="0.25">
      <c r="C100" s="42"/>
      <c r="H100" s="4"/>
      <c r="I100" s="4"/>
      <c r="J100" s="4"/>
    </row>
    <row r="101" spans="3:10" x14ac:dyDescent="0.25"/>
    <row r="102" spans="3:10" x14ac:dyDescent="0.25"/>
    <row r="103" spans="3:10" x14ac:dyDescent="0.25"/>
    <row r="104" spans="3:10" x14ac:dyDescent="0.25"/>
    <row r="105" spans="3:10" x14ac:dyDescent="0.25"/>
    <row r="106" spans="3:10" x14ac:dyDescent="0.25"/>
    <row r="107" spans="3:10" x14ac:dyDescent="0.25"/>
    <row r="108" spans="3:10" x14ac:dyDescent="0.25"/>
    <row r="109" spans="3:10" x14ac:dyDescent="0.25"/>
    <row r="110" spans="3:10" x14ac:dyDescent="0.25"/>
    <row r="111" spans="3:10" x14ac:dyDescent="0.25"/>
    <row r="112" spans="3:10" x14ac:dyDescent="0.25"/>
    <row r="113" x14ac:dyDescent="0.25"/>
    <row r="114" x14ac:dyDescent="0.25"/>
    <row r="11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26" x14ac:dyDescent="0.25"/>
    <row r="127" x14ac:dyDescent="0.25"/>
    <row r="128" x14ac:dyDescent="0.25"/>
    <row r="129" x14ac:dyDescent="0.25"/>
    <row r="130" x14ac:dyDescent="0.25"/>
    <row r="131" x14ac:dyDescent="0.25"/>
    <row r="132" x14ac:dyDescent="0.25"/>
  </sheetData>
  <mergeCells count="37">
    <mergeCell ref="B16:G17"/>
    <mergeCell ref="C1:F3"/>
    <mergeCell ref="G1:G3"/>
    <mergeCell ref="B5:E6"/>
    <mergeCell ref="F5:G6"/>
    <mergeCell ref="D10:E10"/>
    <mergeCell ref="F33:G33"/>
    <mergeCell ref="B18:G18"/>
    <mergeCell ref="B20:G21"/>
    <mergeCell ref="B22:G22"/>
    <mergeCell ref="D25:E25"/>
    <mergeCell ref="B27:C28"/>
    <mergeCell ref="D27:G28"/>
    <mergeCell ref="F29:G29"/>
    <mergeCell ref="F30:G30"/>
    <mergeCell ref="F31:G31"/>
    <mergeCell ref="F32:G32"/>
    <mergeCell ref="F53:G53"/>
    <mergeCell ref="F46:G46"/>
    <mergeCell ref="F34:G34"/>
    <mergeCell ref="F35:G35"/>
    <mergeCell ref="F36:G36"/>
    <mergeCell ref="F37:G37"/>
    <mergeCell ref="F38:G38"/>
    <mergeCell ref="F41:G41"/>
    <mergeCell ref="F42:G42"/>
    <mergeCell ref="F43:G43"/>
    <mergeCell ref="F44:G44"/>
    <mergeCell ref="F45:G45"/>
    <mergeCell ref="F39:G39"/>
    <mergeCell ref="F40:G40"/>
    <mergeCell ref="F47:G47"/>
    <mergeCell ref="F48:G48"/>
    <mergeCell ref="F49:G49"/>
    <mergeCell ref="F50:G50"/>
    <mergeCell ref="F51:G51"/>
    <mergeCell ref="F52:G52"/>
  </mergeCells>
  <conditionalFormatting sqref="E30">
    <cfRule type="colorScale" priority="76">
      <colorScale>
        <cfvo type="num" val="$E$30"/>
        <cfvo type="num" val="$E$30"/>
        <color rgb="FFFF7128"/>
        <color rgb="FFFFEF9C"/>
      </colorScale>
    </cfRule>
    <cfRule type="colorScale" priority="77">
      <colorScale>
        <cfvo type="min"/>
        <cfvo type="max"/>
        <color rgb="FFFF0000"/>
        <color rgb="FF92D050"/>
      </colorScale>
    </cfRule>
  </conditionalFormatting>
  <conditionalFormatting sqref="E31">
    <cfRule type="colorScale" priority="74">
      <colorScale>
        <cfvo type="num" val="$E$30"/>
        <cfvo type="num" val="$E$30"/>
        <color rgb="FFFF7128"/>
        <color rgb="FFFFEF9C"/>
      </colorScale>
    </cfRule>
    <cfRule type="colorScale" priority="75">
      <colorScale>
        <cfvo type="min"/>
        <cfvo type="max"/>
        <color rgb="FFFF0000"/>
        <color rgb="FF92D050"/>
      </colorScale>
    </cfRule>
  </conditionalFormatting>
  <conditionalFormatting sqref="E32">
    <cfRule type="cellIs" dxfId="86" priority="70" operator="equal">
      <formula>"""SI"""</formula>
    </cfRule>
    <cfRule type="colorScale" priority="72">
      <colorScale>
        <cfvo type="num" val="$E$30"/>
        <cfvo type="num" val="$E$30"/>
        <color rgb="FFFF7128"/>
        <color rgb="FFFFEF9C"/>
      </colorScale>
    </cfRule>
    <cfRule type="colorScale" priority="73">
      <colorScale>
        <cfvo type="min"/>
        <cfvo type="max"/>
        <color rgb="FFFF0000"/>
        <color rgb="FF92D050"/>
      </colorScale>
    </cfRule>
  </conditionalFormatting>
  <conditionalFormatting sqref="E30:E32">
    <cfRule type="cellIs" dxfId="85" priority="65" operator="equal">
      <formula>"NC"</formula>
    </cfRule>
    <cfRule type="cellIs" dxfId="84" priority="66" operator="equal">
      <formula>"SI"</formula>
    </cfRule>
    <cfRule type="cellIs" dxfId="83" priority="67" operator="equal">
      <formula>"NO"</formula>
    </cfRule>
    <cfRule type="cellIs" dxfId="82" priority="68" operator="equal">
      <formula>"SI"</formula>
    </cfRule>
    <cfRule type="cellIs" dxfId="81" priority="69" operator="equal">
      <formula>"NO"</formula>
    </cfRule>
    <cfRule type="colorScale" priority="71">
      <colorScale>
        <cfvo type="min"/>
        <cfvo type="max"/>
        <color rgb="FFFF7128"/>
        <color rgb="FF92D050"/>
      </colorScale>
    </cfRule>
  </conditionalFormatting>
  <conditionalFormatting sqref="E33:E36">
    <cfRule type="colorScale" priority="78">
      <colorScale>
        <cfvo type="num" val="$E$30"/>
        <cfvo type="num" val="$E$30"/>
        <color rgb="FFFF7128"/>
        <color rgb="FFFFEF9C"/>
      </colorScale>
    </cfRule>
    <cfRule type="colorScale" priority="79">
      <colorScale>
        <cfvo type="min"/>
        <cfvo type="max"/>
        <color rgb="FFFF0000"/>
        <color rgb="FF92D050"/>
      </colorScale>
    </cfRule>
  </conditionalFormatting>
  <conditionalFormatting sqref="E33:E36">
    <cfRule type="cellIs" dxfId="80" priority="80" operator="equal">
      <formula>"NC"</formula>
    </cfRule>
    <cfRule type="cellIs" dxfId="79" priority="81" operator="equal">
      <formula>"SI"</formula>
    </cfRule>
    <cfRule type="cellIs" dxfId="78" priority="82" operator="equal">
      <formula>"NO"</formula>
    </cfRule>
    <cfRule type="cellIs" dxfId="77" priority="83" operator="equal">
      <formula>"SI"</formula>
    </cfRule>
    <cfRule type="cellIs" dxfId="76" priority="84" operator="equal">
      <formula>"NO"</formula>
    </cfRule>
    <cfRule type="colorScale" priority="85">
      <colorScale>
        <cfvo type="min"/>
        <cfvo type="max"/>
        <color rgb="FFFF7128"/>
        <color rgb="FF92D050"/>
      </colorScale>
    </cfRule>
  </conditionalFormatting>
  <conditionalFormatting sqref="E39">
    <cfRule type="colorScale" priority="9">
      <colorScale>
        <cfvo type="num" val="$E$30"/>
        <cfvo type="num" val="$E$30"/>
        <color rgb="FFFF7128"/>
        <color rgb="FFFFEF9C"/>
      </colorScale>
    </cfRule>
    <cfRule type="colorScale" priority="10">
      <colorScale>
        <cfvo type="min"/>
        <cfvo type="max"/>
        <color rgb="FFFF0000"/>
        <color rgb="FF92D050"/>
      </colorScale>
    </cfRule>
  </conditionalFormatting>
  <conditionalFormatting sqref="E39">
    <cfRule type="cellIs" dxfId="75" priority="11" operator="equal">
      <formula>"NC"</formula>
    </cfRule>
    <cfRule type="cellIs" dxfId="74" priority="12" operator="equal">
      <formula>"SI"</formula>
    </cfRule>
    <cfRule type="cellIs" dxfId="73" priority="13" operator="equal">
      <formula>"NO"</formula>
    </cfRule>
    <cfRule type="cellIs" dxfId="72" priority="14" operator="equal">
      <formula>"SI"</formula>
    </cfRule>
    <cfRule type="cellIs" dxfId="71" priority="15" operator="equal">
      <formula>"NO"</formula>
    </cfRule>
    <cfRule type="colorScale" priority="16">
      <colorScale>
        <cfvo type="min"/>
        <cfvo type="max"/>
        <color rgb="FFFF7128"/>
        <color rgb="FF92D050"/>
      </colorScale>
    </cfRule>
  </conditionalFormatting>
  <conditionalFormatting sqref="E47:E49">
    <cfRule type="colorScale" priority="100">
      <colorScale>
        <cfvo type="num" val="$E$30"/>
        <cfvo type="num" val="$E$30"/>
        <color rgb="FFFF7128"/>
        <color rgb="FFFFEF9C"/>
      </colorScale>
    </cfRule>
    <cfRule type="colorScale" priority="101">
      <colorScale>
        <cfvo type="min"/>
        <cfvo type="max"/>
        <color rgb="FFFF0000"/>
        <color rgb="FF92D050"/>
      </colorScale>
    </cfRule>
  </conditionalFormatting>
  <conditionalFormatting sqref="E47:E49">
    <cfRule type="cellIs" dxfId="70" priority="102" operator="equal">
      <formula>"NC"</formula>
    </cfRule>
    <cfRule type="cellIs" dxfId="69" priority="103" operator="equal">
      <formula>"SI"</formula>
    </cfRule>
    <cfRule type="cellIs" dxfId="68" priority="104" operator="equal">
      <formula>"NO"</formula>
    </cfRule>
    <cfRule type="cellIs" dxfId="67" priority="105" operator="equal">
      <formula>"SI"</formula>
    </cfRule>
    <cfRule type="cellIs" dxfId="66" priority="106" operator="equal">
      <formula>"NO"</formula>
    </cfRule>
    <cfRule type="colorScale" priority="107">
      <colorScale>
        <cfvo type="min"/>
        <cfvo type="max"/>
        <color rgb="FFFF7128"/>
        <color rgb="FF92D050"/>
      </colorScale>
    </cfRule>
  </conditionalFormatting>
  <conditionalFormatting sqref="E51:E53">
    <cfRule type="colorScale" priority="108">
      <colorScale>
        <cfvo type="num" val="$E$30"/>
        <cfvo type="num" val="$E$30"/>
        <color rgb="FFFF7128"/>
        <color rgb="FFFFEF9C"/>
      </colorScale>
    </cfRule>
    <cfRule type="colorScale" priority="109">
      <colorScale>
        <cfvo type="min"/>
        <cfvo type="max"/>
        <color rgb="FFFF0000"/>
        <color rgb="FF92D050"/>
      </colorScale>
    </cfRule>
  </conditionalFormatting>
  <conditionalFormatting sqref="E51:E53">
    <cfRule type="cellIs" dxfId="65" priority="110" operator="equal">
      <formula>"NC"</formula>
    </cfRule>
    <cfRule type="cellIs" dxfId="64" priority="111" operator="equal">
      <formula>"SI"</formula>
    </cfRule>
    <cfRule type="cellIs" dxfId="63" priority="112" operator="equal">
      <formula>"NO"</formula>
    </cfRule>
    <cfRule type="cellIs" dxfId="62" priority="113" operator="equal">
      <formula>"SI"</formula>
    </cfRule>
    <cfRule type="cellIs" dxfId="61" priority="114" operator="equal">
      <formula>"NO"</formula>
    </cfRule>
    <cfRule type="colorScale" priority="115">
      <colorScale>
        <cfvo type="min"/>
        <cfvo type="max"/>
        <color rgb="FFFF7128"/>
        <color rgb="FF92D050"/>
      </colorScale>
    </cfRule>
  </conditionalFormatting>
  <conditionalFormatting sqref="E41:E45 E38">
    <cfRule type="colorScale" priority="116">
      <colorScale>
        <cfvo type="num" val="$E$30"/>
        <cfvo type="num" val="$E$30"/>
        <color rgb="FFFF7128"/>
        <color rgb="FFFFEF9C"/>
      </colorScale>
    </cfRule>
    <cfRule type="colorScale" priority="117">
      <colorScale>
        <cfvo type="min"/>
        <cfvo type="max"/>
        <color rgb="FFFF0000"/>
        <color rgb="FF92D050"/>
      </colorScale>
    </cfRule>
  </conditionalFormatting>
  <conditionalFormatting sqref="E41:E45 E38">
    <cfRule type="cellIs" dxfId="60" priority="122" operator="equal">
      <formula>"NC"</formula>
    </cfRule>
    <cfRule type="cellIs" dxfId="59" priority="123" operator="equal">
      <formula>"SI"</formula>
    </cfRule>
    <cfRule type="cellIs" dxfId="58" priority="124" operator="equal">
      <formula>"NO"</formula>
    </cfRule>
    <cfRule type="cellIs" dxfId="57" priority="125" operator="equal">
      <formula>"SI"</formula>
    </cfRule>
    <cfRule type="cellIs" dxfId="56" priority="126" operator="equal">
      <formula>"NO"</formula>
    </cfRule>
    <cfRule type="colorScale" priority="127">
      <colorScale>
        <cfvo type="min"/>
        <cfvo type="max"/>
        <color rgb="FFFF7128"/>
        <color rgb="FF92D050"/>
      </colorScale>
    </cfRule>
  </conditionalFormatting>
  <dataValidations count="1">
    <dataValidation type="list" allowBlank="1" showInputMessage="1" showErrorMessage="1" sqref="E51:E53 E30:E36 E38:E39 E47:E49 E41:E45">
      <formula1>$I$24:$I$26</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1:D36"/>
  <sheetViews>
    <sheetView workbookViewId="0">
      <selection sqref="A1:A80"/>
    </sheetView>
  </sheetViews>
  <sheetFormatPr baseColWidth="10" defaultRowHeight="15.75" x14ac:dyDescent="0.25"/>
  <sheetData>
    <row r="1" spans="2:4" x14ac:dyDescent="0.25">
      <c r="B1" s="2" t="s">
        <v>84</v>
      </c>
      <c r="C1" t="s">
        <v>74</v>
      </c>
      <c r="D1">
        <v>1</v>
      </c>
    </row>
    <row r="2" spans="2:4" x14ac:dyDescent="0.25">
      <c r="B2" s="2" t="s">
        <v>144</v>
      </c>
      <c r="C2" t="s">
        <v>74</v>
      </c>
      <c r="D2">
        <v>1</v>
      </c>
    </row>
    <row r="3" spans="2:4" x14ac:dyDescent="0.25">
      <c r="B3" s="3" t="s">
        <v>85</v>
      </c>
      <c r="C3" t="s">
        <v>74</v>
      </c>
      <c r="D3">
        <v>2</v>
      </c>
    </row>
    <row r="4" spans="2:4" x14ac:dyDescent="0.25">
      <c r="B4" s="2" t="s">
        <v>86</v>
      </c>
      <c r="C4" t="s">
        <v>74</v>
      </c>
      <c r="D4">
        <v>1</v>
      </c>
    </row>
    <row r="5" spans="2:4" x14ac:dyDescent="0.25">
      <c r="B5" s="2" t="s">
        <v>28</v>
      </c>
      <c r="C5" t="s">
        <v>74</v>
      </c>
      <c r="D5">
        <v>1</v>
      </c>
    </row>
    <row r="6" spans="2:4" x14ac:dyDescent="0.25">
      <c r="B6" s="3" t="s">
        <v>87</v>
      </c>
      <c r="C6" t="s">
        <v>74</v>
      </c>
      <c r="D6">
        <v>2</v>
      </c>
    </row>
    <row r="7" spans="2:4" x14ac:dyDescent="0.25">
      <c r="B7" s="3" t="s">
        <v>88</v>
      </c>
      <c r="C7" t="s">
        <v>74</v>
      </c>
      <c r="D7">
        <v>2</v>
      </c>
    </row>
    <row r="8" spans="2:4" x14ac:dyDescent="0.25">
      <c r="B8" s="2" t="s">
        <v>89</v>
      </c>
      <c r="C8" t="s">
        <v>76</v>
      </c>
      <c r="D8">
        <v>1</v>
      </c>
    </row>
    <row r="9" spans="2:4" x14ac:dyDescent="0.25">
      <c r="B9" s="2" t="s">
        <v>90</v>
      </c>
      <c r="C9" t="s">
        <v>74</v>
      </c>
      <c r="D9">
        <v>1</v>
      </c>
    </row>
    <row r="10" spans="2:4" x14ac:dyDescent="0.25">
      <c r="B10" s="2" t="s">
        <v>91</v>
      </c>
      <c r="C10" t="s">
        <v>74</v>
      </c>
      <c r="D10">
        <v>1</v>
      </c>
    </row>
    <row r="11" spans="2:4" x14ac:dyDescent="0.25">
      <c r="B11" s="2" t="s">
        <v>92</v>
      </c>
      <c r="C11" t="s">
        <v>74</v>
      </c>
      <c r="D11">
        <v>1</v>
      </c>
    </row>
    <row r="12" spans="2:4" x14ac:dyDescent="0.25">
      <c r="B12" s="2" t="s">
        <v>93</v>
      </c>
      <c r="C12" t="s">
        <v>74</v>
      </c>
      <c r="D12">
        <v>1</v>
      </c>
    </row>
    <row r="13" spans="2:4" x14ac:dyDescent="0.25">
      <c r="B13" s="2" t="s">
        <v>103</v>
      </c>
      <c r="C13" t="s">
        <v>74</v>
      </c>
      <c r="D13">
        <v>1</v>
      </c>
    </row>
    <row r="14" spans="2:4" x14ac:dyDescent="0.25">
      <c r="B14" s="2" t="s">
        <v>96</v>
      </c>
      <c r="C14" t="s">
        <v>74</v>
      </c>
      <c r="D14">
        <v>1</v>
      </c>
    </row>
    <row r="15" spans="2:4" x14ac:dyDescent="0.25">
      <c r="B15" s="3" t="s">
        <v>94</v>
      </c>
      <c r="C15" t="s">
        <v>74</v>
      </c>
      <c r="D15">
        <v>2</v>
      </c>
    </row>
    <row r="16" spans="2:4" x14ac:dyDescent="0.25">
      <c r="B16" s="3" t="s">
        <v>95</v>
      </c>
      <c r="C16" t="s">
        <v>74</v>
      </c>
      <c r="D16">
        <v>2</v>
      </c>
    </row>
    <row r="17" spans="2:4" x14ac:dyDescent="0.25">
      <c r="B17" s="2" t="s">
        <v>31</v>
      </c>
      <c r="C17" t="s">
        <v>74</v>
      </c>
      <c r="D17">
        <v>1</v>
      </c>
    </row>
    <row r="18" spans="2:4" x14ac:dyDescent="0.25">
      <c r="B18" s="3" t="s">
        <v>32</v>
      </c>
      <c r="C18" t="s">
        <v>74</v>
      </c>
      <c r="D18">
        <v>2</v>
      </c>
    </row>
    <row r="19" spans="2:4" x14ac:dyDescent="0.25">
      <c r="B19" s="2" t="s">
        <v>33</v>
      </c>
      <c r="C19" t="s">
        <v>74</v>
      </c>
      <c r="D19">
        <v>1</v>
      </c>
    </row>
    <row r="20" spans="2:4" x14ac:dyDescent="0.25">
      <c r="B20" s="2" t="s">
        <v>34</v>
      </c>
      <c r="C20" t="s">
        <v>74</v>
      </c>
      <c r="D20">
        <v>1</v>
      </c>
    </row>
    <row r="21" spans="2:4" x14ac:dyDescent="0.25">
      <c r="B21" s="2" t="s">
        <v>35</v>
      </c>
      <c r="C21" t="s">
        <v>74</v>
      </c>
      <c r="D21">
        <v>1</v>
      </c>
    </row>
    <row r="22" spans="2:4" x14ac:dyDescent="0.25">
      <c r="B22" s="2" t="s">
        <v>36</v>
      </c>
      <c r="C22" t="s">
        <v>74</v>
      </c>
      <c r="D22">
        <v>1</v>
      </c>
    </row>
    <row r="23" spans="2:4" x14ac:dyDescent="0.25">
      <c r="B23" s="3" t="s">
        <v>97</v>
      </c>
      <c r="C23" t="s">
        <v>74</v>
      </c>
      <c r="D23">
        <v>2</v>
      </c>
    </row>
    <row r="24" spans="2:4" x14ac:dyDescent="0.25">
      <c r="B24" s="3" t="s">
        <v>39</v>
      </c>
      <c r="C24" t="s">
        <v>74</v>
      </c>
      <c r="D24">
        <v>2</v>
      </c>
    </row>
    <row r="25" spans="2:4" x14ac:dyDescent="0.25">
      <c r="B25" s="3" t="s">
        <v>98</v>
      </c>
      <c r="C25" t="s">
        <v>75</v>
      </c>
      <c r="D25">
        <v>2</v>
      </c>
    </row>
    <row r="26" spans="2:4" x14ac:dyDescent="0.25">
      <c r="B26" s="3" t="s">
        <v>41</v>
      </c>
      <c r="C26" t="s">
        <v>74</v>
      </c>
      <c r="D26">
        <v>2</v>
      </c>
    </row>
    <row r="27" spans="2:4" x14ac:dyDescent="0.25">
      <c r="B27" s="3" t="s">
        <v>99</v>
      </c>
      <c r="C27" t="s">
        <v>74</v>
      </c>
      <c r="D27">
        <v>2</v>
      </c>
    </row>
    <row r="28" spans="2:4" x14ac:dyDescent="0.25">
      <c r="B28" s="3" t="s">
        <v>26</v>
      </c>
      <c r="C28" t="s">
        <v>74</v>
      </c>
      <c r="D28">
        <v>2</v>
      </c>
    </row>
    <row r="29" spans="2:4" x14ac:dyDescent="0.25">
      <c r="B29" s="2" t="s">
        <v>145</v>
      </c>
      <c r="C29" t="s">
        <v>74</v>
      </c>
      <c r="D29">
        <v>1</v>
      </c>
    </row>
    <row r="30" spans="2:4" x14ac:dyDescent="0.25">
      <c r="B30" s="2" t="s">
        <v>100</v>
      </c>
      <c r="C30" t="s">
        <v>74</v>
      </c>
      <c r="D30">
        <v>1</v>
      </c>
    </row>
    <row r="31" spans="2:4" x14ac:dyDescent="0.25">
      <c r="B31" s="2" t="s">
        <v>101</v>
      </c>
      <c r="C31" t="s">
        <v>74</v>
      </c>
      <c r="D31">
        <v>1</v>
      </c>
    </row>
    <row r="32" spans="2:4" x14ac:dyDescent="0.25">
      <c r="B32" s="2" t="s">
        <v>46</v>
      </c>
      <c r="C32" t="s">
        <v>74</v>
      </c>
      <c r="D32">
        <v>1</v>
      </c>
    </row>
    <row r="33" spans="2:4" x14ac:dyDescent="0.25">
      <c r="B33" s="2" t="s">
        <v>104</v>
      </c>
      <c r="C33" t="s">
        <v>74</v>
      </c>
      <c r="D33">
        <v>1</v>
      </c>
    </row>
    <row r="34" spans="2:4" x14ac:dyDescent="0.25">
      <c r="B34" s="2" t="s">
        <v>102</v>
      </c>
      <c r="C34" t="s">
        <v>74</v>
      </c>
      <c r="D34">
        <v>1</v>
      </c>
    </row>
    <row r="35" spans="2:4" x14ac:dyDescent="0.25">
      <c r="B35" s="2" t="s">
        <v>49</v>
      </c>
      <c r="C35" t="s">
        <v>74</v>
      </c>
      <c r="D35">
        <v>1</v>
      </c>
    </row>
    <row r="36" spans="2:4" x14ac:dyDescent="0.25">
      <c r="B36" s="2" t="s">
        <v>146</v>
      </c>
      <c r="C36" t="s">
        <v>74</v>
      </c>
      <c r="D36">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2:C54"/>
  <sheetViews>
    <sheetView topLeftCell="A42" workbookViewId="0">
      <selection activeCell="A45" sqref="A45:C54"/>
    </sheetView>
  </sheetViews>
  <sheetFormatPr baseColWidth="10" defaultRowHeight="15.75" x14ac:dyDescent="0.25"/>
  <cols>
    <col min="1" max="1" width="8.75" style="4" customWidth="1"/>
    <col min="2" max="2" width="76.25" style="4" customWidth="1"/>
    <col min="3" max="16384" width="11" style="4"/>
  </cols>
  <sheetData>
    <row r="2" spans="1:3" ht="21.75" thickBot="1" x14ac:dyDescent="0.3">
      <c r="A2" s="117" t="s">
        <v>77</v>
      </c>
      <c r="B2" s="117"/>
      <c r="C2" s="117"/>
    </row>
    <row r="3" spans="1:3" ht="15.75" customHeight="1" x14ac:dyDescent="0.25">
      <c r="A3" s="118" t="s">
        <v>10</v>
      </c>
      <c r="B3" s="119"/>
      <c r="C3" s="118"/>
    </row>
    <row r="4" spans="1:3" x14ac:dyDescent="0.25">
      <c r="A4" s="120"/>
      <c r="B4" s="121"/>
      <c r="C4" s="120"/>
    </row>
    <row r="5" spans="1:3" ht="37.5" x14ac:dyDescent="0.25">
      <c r="A5" s="23" t="s">
        <v>12</v>
      </c>
      <c r="B5" s="67" t="s">
        <v>13</v>
      </c>
      <c r="C5" s="25" t="s">
        <v>15</v>
      </c>
    </row>
    <row r="6" spans="1:3" ht="48" customHeight="1" x14ac:dyDescent="0.25">
      <c r="A6" s="26">
        <v>1</v>
      </c>
      <c r="B6" s="27" t="s">
        <v>105</v>
      </c>
      <c r="C6" s="28" t="s">
        <v>8</v>
      </c>
    </row>
    <row r="7" spans="1:3" ht="64.5" customHeight="1" x14ac:dyDescent="0.25">
      <c r="A7" s="26">
        <v>2</v>
      </c>
      <c r="B7" s="27" t="s">
        <v>106</v>
      </c>
      <c r="C7" s="28" t="s">
        <v>8</v>
      </c>
    </row>
    <row r="8" spans="1:3" ht="59.25" customHeight="1" x14ac:dyDescent="0.25">
      <c r="A8" s="26">
        <v>3</v>
      </c>
      <c r="B8" s="27" t="s">
        <v>107</v>
      </c>
      <c r="C8" s="28" t="s">
        <v>8</v>
      </c>
    </row>
    <row r="9" spans="1:3" ht="36" customHeight="1" x14ac:dyDescent="0.25">
      <c r="A9" s="23" t="s">
        <v>17</v>
      </c>
      <c r="B9" s="68" t="s">
        <v>27</v>
      </c>
      <c r="C9" s="25" t="s">
        <v>15</v>
      </c>
    </row>
    <row r="10" spans="1:3" ht="58.5" customHeight="1" x14ac:dyDescent="0.25">
      <c r="A10" s="26">
        <v>4</v>
      </c>
      <c r="B10" s="34" t="s">
        <v>108</v>
      </c>
      <c r="C10" s="28" t="s">
        <v>8</v>
      </c>
    </row>
    <row r="11" spans="1:3" ht="60" customHeight="1" x14ac:dyDescent="0.25">
      <c r="A11" s="26">
        <v>5</v>
      </c>
      <c r="B11" s="34" t="s">
        <v>109</v>
      </c>
      <c r="C11" s="28" t="s">
        <v>8</v>
      </c>
    </row>
    <row r="12" spans="1:3" ht="51.75" customHeight="1" x14ac:dyDescent="0.25">
      <c r="A12" s="26">
        <v>6</v>
      </c>
      <c r="B12" s="34" t="s">
        <v>142</v>
      </c>
      <c r="C12" s="28" t="s">
        <v>8</v>
      </c>
    </row>
    <row r="13" spans="1:3" ht="57.75" customHeight="1" x14ac:dyDescent="0.25">
      <c r="A13" s="26">
        <f>+A12+1</f>
        <v>7</v>
      </c>
      <c r="B13" s="34" t="s">
        <v>110</v>
      </c>
      <c r="C13" s="28" t="s">
        <v>8</v>
      </c>
    </row>
    <row r="14" spans="1:3" ht="37.5" x14ac:dyDescent="0.25">
      <c r="A14" s="23" t="s">
        <v>18</v>
      </c>
      <c r="B14" s="68" t="s">
        <v>29</v>
      </c>
      <c r="C14" s="25" t="s">
        <v>15</v>
      </c>
    </row>
    <row r="15" spans="1:3" ht="51" customHeight="1" x14ac:dyDescent="0.25">
      <c r="A15" s="26">
        <f>+A13+1</f>
        <v>8</v>
      </c>
      <c r="B15" s="34" t="s">
        <v>111</v>
      </c>
      <c r="C15" s="28" t="s">
        <v>8</v>
      </c>
    </row>
    <row r="16" spans="1:3" ht="60" customHeight="1" x14ac:dyDescent="0.25">
      <c r="A16" s="26">
        <f t="shared" ref="A16:A21" si="0">+A15+1</f>
        <v>9</v>
      </c>
      <c r="B16" s="34" t="s">
        <v>112</v>
      </c>
      <c r="C16" s="28" t="s">
        <v>8</v>
      </c>
    </row>
    <row r="17" spans="1:3" ht="54.75" customHeight="1" x14ac:dyDescent="0.25">
      <c r="A17" s="26">
        <f t="shared" si="0"/>
        <v>10</v>
      </c>
      <c r="B17" s="34" t="s">
        <v>113</v>
      </c>
      <c r="C17" s="28" t="s">
        <v>8</v>
      </c>
    </row>
    <row r="18" spans="1:3" ht="63" customHeight="1" x14ac:dyDescent="0.25">
      <c r="A18" s="26">
        <f t="shared" si="0"/>
        <v>11</v>
      </c>
      <c r="B18" s="39" t="s">
        <v>114</v>
      </c>
      <c r="C18" s="28" t="s">
        <v>8</v>
      </c>
    </row>
    <row r="19" spans="1:3" ht="57" customHeight="1" x14ac:dyDescent="0.25">
      <c r="A19" s="26">
        <f t="shared" si="0"/>
        <v>12</v>
      </c>
      <c r="B19" s="40" t="s">
        <v>143</v>
      </c>
      <c r="C19" s="28" t="s">
        <v>8</v>
      </c>
    </row>
    <row r="20" spans="1:3" ht="51.75" customHeight="1" x14ac:dyDescent="0.25">
      <c r="A20" s="26">
        <f t="shared" si="0"/>
        <v>13</v>
      </c>
      <c r="B20" s="41" t="s">
        <v>115</v>
      </c>
      <c r="C20" s="28" t="s">
        <v>8</v>
      </c>
    </row>
    <row r="21" spans="1:3" ht="49.5" customHeight="1" x14ac:dyDescent="0.25">
      <c r="A21" s="26">
        <f t="shared" si="0"/>
        <v>14</v>
      </c>
      <c r="B21" s="41" t="s">
        <v>116</v>
      </c>
      <c r="C21" s="28" t="s">
        <v>8</v>
      </c>
    </row>
    <row r="22" spans="1:3" ht="48" customHeight="1" x14ac:dyDescent="0.25">
      <c r="A22" s="23" t="s">
        <v>20</v>
      </c>
      <c r="B22" s="68" t="s">
        <v>30</v>
      </c>
      <c r="C22" s="25" t="s">
        <v>15</v>
      </c>
    </row>
    <row r="23" spans="1:3" ht="47.25" customHeight="1" x14ac:dyDescent="0.25">
      <c r="A23" s="26">
        <f>+A21+1</f>
        <v>15</v>
      </c>
      <c r="B23" s="27" t="s">
        <v>117</v>
      </c>
      <c r="C23" s="28" t="s">
        <v>8</v>
      </c>
    </row>
    <row r="24" spans="1:3" ht="62.25" customHeight="1" x14ac:dyDescent="0.25">
      <c r="A24" s="26">
        <f>+A23+1</f>
        <v>16</v>
      </c>
      <c r="B24" s="27" t="s">
        <v>118</v>
      </c>
      <c r="C24" s="28" t="s">
        <v>8</v>
      </c>
    </row>
    <row r="25" spans="1:3" ht="51.75" customHeight="1" x14ac:dyDescent="0.25">
      <c r="A25" s="26">
        <f>+A24+1</f>
        <v>17</v>
      </c>
      <c r="B25" s="27" t="s">
        <v>119</v>
      </c>
      <c r="C25" s="28" t="s">
        <v>8</v>
      </c>
    </row>
    <row r="26" spans="1:3" ht="53.25" customHeight="1" x14ac:dyDescent="0.25">
      <c r="A26" s="26">
        <f>+A25+1</f>
        <v>18</v>
      </c>
      <c r="B26" s="27" t="s">
        <v>120</v>
      </c>
      <c r="C26" s="28" t="s">
        <v>8</v>
      </c>
    </row>
    <row r="27" spans="1:3" ht="57" customHeight="1" x14ac:dyDescent="0.25">
      <c r="A27" s="23" t="s">
        <v>21</v>
      </c>
      <c r="B27" s="68" t="s">
        <v>22</v>
      </c>
      <c r="C27" s="25" t="s">
        <v>15</v>
      </c>
    </row>
    <row r="28" spans="1:3" ht="54" customHeight="1" x14ac:dyDescent="0.25">
      <c r="A28" s="26">
        <f>+A26+1</f>
        <v>19</v>
      </c>
      <c r="B28" s="27" t="s">
        <v>121</v>
      </c>
      <c r="C28" s="28" t="s">
        <v>8</v>
      </c>
    </row>
    <row r="29" spans="1:3" ht="49.5" customHeight="1" x14ac:dyDescent="0.25">
      <c r="A29" s="26">
        <f>+A28+1</f>
        <v>20</v>
      </c>
      <c r="B29" s="27" t="s">
        <v>122</v>
      </c>
      <c r="C29" s="28" t="s">
        <v>8</v>
      </c>
    </row>
    <row r="30" spans="1:3" ht="64.5" customHeight="1" x14ac:dyDescent="0.25">
      <c r="A30" s="26">
        <f>+A29+1</f>
        <v>21</v>
      </c>
      <c r="B30" s="27" t="s">
        <v>123</v>
      </c>
      <c r="C30" s="28" t="s">
        <v>8</v>
      </c>
    </row>
    <row r="31" spans="1:3" ht="45" customHeight="1" x14ac:dyDescent="0.25">
      <c r="A31" s="26">
        <f>+A30+1</f>
        <v>22</v>
      </c>
      <c r="B31" s="27" t="s">
        <v>124</v>
      </c>
      <c r="C31" s="28" t="s">
        <v>8</v>
      </c>
    </row>
    <row r="32" spans="1:3" ht="47.25" customHeight="1" x14ac:dyDescent="0.25">
      <c r="A32" s="26">
        <f>+A31+1</f>
        <v>23</v>
      </c>
      <c r="B32" s="27" t="s">
        <v>125</v>
      </c>
      <c r="C32" s="28" t="s">
        <v>8</v>
      </c>
    </row>
    <row r="33" spans="1:3" ht="45.75" customHeight="1" x14ac:dyDescent="0.25">
      <c r="A33" s="23" t="s">
        <v>23</v>
      </c>
      <c r="B33" s="24" t="s">
        <v>37</v>
      </c>
      <c r="C33" s="25" t="s">
        <v>15</v>
      </c>
    </row>
    <row r="34" spans="1:3" ht="60.75" customHeight="1" x14ac:dyDescent="0.25">
      <c r="A34" s="26">
        <f>+A32+1</f>
        <v>24</v>
      </c>
      <c r="B34" s="27" t="s">
        <v>126</v>
      </c>
      <c r="C34" s="28" t="s">
        <v>8</v>
      </c>
    </row>
    <row r="35" spans="1:3" ht="60.75" customHeight="1" x14ac:dyDescent="0.25">
      <c r="A35" s="26">
        <f>+A34+1</f>
        <v>25</v>
      </c>
      <c r="B35" s="27" t="s">
        <v>127</v>
      </c>
      <c r="C35" s="28" t="s">
        <v>8</v>
      </c>
    </row>
    <row r="36" spans="1:3" ht="49.5" customHeight="1" x14ac:dyDescent="0.25">
      <c r="A36" s="23" t="s">
        <v>24</v>
      </c>
      <c r="B36" s="24" t="s">
        <v>40</v>
      </c>
      <c r="C36" s="25" t="s">
        <v>15</v>
      </c>
    </row>
    <row r="37" spans="1:3" ht="54.75" customHeight="1" x14ac:dyDescent="0.25">
      <c r="A37" s="26">
        <f>+A35+1</f>
        <v>26</v>
      </c>
      <c r="B37" s="27" t="s">
        <v>128</v>
      </c>
      <c r="C37" s="28" t="s">
        <v>8</v>
      </c>
    </row>
    <row r="38" spans="1:3" ht="54" customHeight="1" x14ac:dyDescent="0.25">
      <c r="A38" s="26">
        <f>+A37+1</f>
        <v>27</v>
      </c>
      <c r="B38" s="27" t="s">
        <v>129</v>
      </c>
      <c r="C38" s="28" t="s">
        <v>8</v>
      </c>
    </row>
    <row r="39" spans="1:3" ht="37.5" x14ac:dyDescent="0.25">
      <c r="A39" s="23" t="s">
        <v>38</v>
      </c>
      <c r="B39" s="68" t="s">
        <v>25</v>
      </c>
      <c r="C39" s="25" t="s">
        <v>15</v>
      </c>
    </row>
    <row r="40" spans="1:3" ht="65.25" customHeight="1" x14ac:dyDescent="0.25">
      <c r="A40" s="26">
        <f>+A38+1</f>
        <v>28</v>
      </c>
      <c r="B40" s="42" t="s">
        <v>130</v>
      </c>
      <c r="C40" s="28" t="s">
        <v>8</v>
      </c>
    </row>
    <row r="41" spans="1:3" ht="37.5" x14ac:dyDescent="0.25">
      <c r="A41" s="23" t="s">
        <v>42</v>
      </c>
      <c r="B41" s="24" t="s">
        <v>43</v>
      </c>
      <c r="C41" s="25" t="s">
        <v>15</v>
      </c>
    </row>
    <row r="42" spans="1:3" ht="75.75" customHeight="1" x14ac:dyDescent="0.25">
      <c r="A42" s="26">
        <f>+A40+1</f>
        <v>29</v>
      </c>
      <c r="B42" s="27" t="s">
        <v>131</v>
      </c>
      <c r="C42" s="28" t="s">
        <v>8</v>
      </c>
    </row>
    <row r="43" spans="1:3" ht="51.75" customHeight="1" x14ac:dyDescent="0.25">
      <c r="A43" s="26">
        <f>+A42+1</f>
        <v>30</v>
      </c>
      <c r="B43" s="27" t="s">
        <v>132</v>
      </c>
      <c r="C43" s="28" t="s">
        <v>9</v>
      </c>
    </row>
    <row r="44" spans="1:3" ht="52.5" customHeight="1" x14ac:dyDescent="0.25">
      <c r="A44" s="26">
        <f>+A43+1</f>
        <v>31</v>
      </c>
      <c r="B44" s="27" t="s">
        <v>133</v>
      </c>
      <c r="C44" s="28" t="s">
        <v>8</v>
      </c>
    </row>
    <row r="45" spans="1:3" ht="37.5" x14ac:dyDescent="0.25">
      <c r="A45" s="23" t="s">
        <v>44</v>
      </c>
      <c r="B45" s="24" t="s">
        <v>45</v>
      </c>
      <c r="C45" s="25" t="s">
        <v>15</v>
      </c>
    </row>
    <row r="46" spans="1:3" ht="51" customHeight="1" x14ac:dyDescent="0.25">
      <c r="A46" s="26">
        <f>+A44+1</f>
        <v>32</v>
      </c>
      <c r="B46" s="27" t="s">
        <v>134</v>
      </c>
      <c r="C46" s="28" t="s">
        <v>8</v>
      </c>
    </row>
    <row r="47" spans="1:3" ht="48.75" customHeight="1" x14ac:dyDescent="0.25">
      <c r="A47" s="26">
        <f>+A46+1</f>
        <v>33</v>
      </c>
      <c r="B47" s="27" t="s">
        <v>135</v>
      </c>
      <c r="C47" s="28" t="s">
        <v>8</v>
      </c>
    </row>
    <row r="48" spans="1:3" ht="48.75" customHeight="1" x14ac:dyDescent="0.25">
      <c r="A48" s="26">
        <f>+A47+1</f>
        <v>34</v>
      </c>
      <c r="B48" s="27" t="s">
        <v>136</v>
      </c>
      <c r="C48" s="28" t="s">
        <v>8</v>
      </c>
    </row>
    <row r="49" spans="1:3" ht="49.5" customHeight="1" x14ac:dyDescent="0.25">
      <c r="A49" s="26">
        <f>+A48+1</f>
        <v>35</v>
      </c>
      <c r="B49" s="27" t="s">
        <v>137</v>
      </c>
      <c r="C49" s="28" t="s">
        <v>8</v>
      </c>
    </row>
    <row r="50" spans="1:3" ht="37.5" x14ac:dyDescent="0.25">
      <c r="A50" s="23" t="s">
        <v>48</v>
      </c>
      <c r="B50" s="24" t="s">
        <v>47</v>
      </c>
      <c r="C50" s="25" t="s">
        <v>15</v>
      </c>
    </row>
    <row r="51" spans="1:3" ht="51.75" customHeight="1" x14ac:dyDescent="0.25">
      <c r="A51" s="26">
        <f>+A49+1</f>
        <v>36</v>
      </c>
      <c r="B51" s="27" t="s">
        <v>138</v>
      </c>
      <c r="C51" s="28" t="s">
        <v>8</v>
      </c>
    </row>
    <row r="52" spans="1:3" ht="53.25" customHeight="1" x14ac:dyDescent="0.25">
      <c r="A52" s="26">
        <f>+A51+1</f>
        <v>37</v>
      </c>
      <c r="B52" s="27" t="s">
        <v>139</v>
      </c>
      <c r="C52" s="28" t="s">
        <v>9</v>
      </c>
    </row>
    <row r="53" spans="1:3" ht="56.25" customHeight="1" x14ac:dyDescent="0.25">
      <c r="A53" s="26">
        <f>+A52+1</f>
        <v>38</v>
      </c>
      <c r="B53" s="27" t="s">
        <v>140</v>
      </c>
      <c r="C53" s="28" t="s">
        <v>9</v>
      </c>
    </row>
    <row r="54" spans="1:3" ht="56.25" customHeight="1" x14ac:dyDescent="0.25">
      <c r="A54" s="26">
        <f>+A53+1</f>
        <v>39</v>
      </c>
      <c r="B54" s="27" t="s">
        <v>141</v>
      </c>
      <c r="C54" s="28" t="s">
        <v>8</v>
      </c>
    </row>
  </sheetData>
  <mergeCells count="3">
    <mergeCell ref="A2:C2"/>
    <mergeCell ref="A3:B4"/>
    <mergeCell ref="C3:C4"/>
  </mergeCells>
  <conditionalFormatting sqref="C40">
    <cfRule type="colorScale" priority="1">
      <colorScale>
        <cfvo type="num" val="#N/A"/>
        <cfvo type="num" val="#N/A"/>
        <color rgb="FFFF7128"/>
        <color rgb="FFFFEF9C"/>
      </colorScale>
    </cfRule>
  </conditionalFormatting>
  <conditionalFormatting sqref="C6">
    <cfRule type="colorScale" priority="77">
      <colorScale>
        <cfvo type="min"/>
        <cfvo type="max"/>
        <color rgb="FFFF0000"/>
        <color rgb="FF92D050"/>
      </colorScale>
    </cfRule>
  </conditionalFormatting>
  <conditionalFormatting sqref="C7:C8">
    <cfRule type="cellIs" dxfId="55" priority="73" operator="equal">
      <formula>"""SI"""</formula>
    </cfRule>
    <cfRule type="colorScale" priority="75">
      <colorScale>
        <cfvo type="min"/>
        <cfvo type="max"/>
        <color rgb="FFFF0000"/>
        <color rgb="FF92D050"/>
      </colorScale>
    </cfRule>
  </conditionalFormatting>
  <conditionalFormatting sqref="C10:C13 C15:C16">
    <cfRule type="colorScale" priority="79">
      <colorScale>
        <cfvo type="min"/>
        <cfvo type="max"/>
        <color rgb="FFFF0000"/>
        <color rgb="FF92D050"/>
      </colorScale>
    </cfRule>
  </conditionalFormatting>
  <conditionalFormatting sqref="C10:C13 C15:C16">
    <cfRule type="cellIs" dxfId="54" priority="80" operator="equal">
      <formula>"NC"</formula>
    </cfRule>
    <cfRule type="cellIs" dxfId="53" priority="81" operator="equal">
      <formula>"SI"</formula>
    </cfRule>
    <cfRule type="cellIs" dxfId="52" priority="82" operator="equal">
      <formula>"NO"</formula>
    </cfRule>
    <cfRule type="cellIs" dxfId="51" priority="83" operator="equal">
      <formula>"SI"</formula>
    </cfRule>
    <cfRule type="cellIs" dxfId="50" priority="84" operator="equal">
      <formula>"NO"</formula>
    </cfRule>
    <cfRule type="colorScale" priority="85">
      <colorScale>
        <cfvo type="min"/>
        <cfvo type="max"/>
        <color rgb="FFFF7128"/>
        <color rgb="FF92D050"/>
      </colorScale>
    </cfRule>
  </conditionalFormatting>
  <conditionalFormatting sqref="C17:C21 C23:C24">
    <cfRule type="colorScale" priority="66">
      <colorScale>
        <cfvo type="min"/>
        <cfvo type="max"/>
        <color rgb="FFFF0000"/>
        <color rgb="FF92D050"/>
      </colorScale>
    </cfRule>
  </conditionalFormatting>
  <conditionalFormatting sqref="C17:C21 C23:C24">
    <cfRule type="cellIs" dxfId="49" priority="67" operator="equal">
      <formula>"NC"</formula>
    </cfRule>
    <cfRule type="cellIs" dxfId="48" priority="68" operator="equal">
      <formula>"SI"</formula>
    </cfRule>
    <cfRule type="cellIs" dxfId="47" priority="69" operator="equal">
      <formula>"NO"</formula>
    </cfRule>
    <cfRule type="cellIs" dxfId="46" priority="70" operator="equal">
      <formula>"SI"</formula>
    </cfRule>
    <cfRule type="cellIs" dxfId="45" priority="71" operator="equal">
      <formula>"NO"</formula>
    </cfRule>
    <cfRule type="colorScale" priority="72">
      <colorScale>
        <cfvo type="min"/>
        <cfvo type="max"/>
        <color rgb="FFFF7128"/>
        <color rgb="FF92D050"/>
      </colorScale>
    </cfRule>
  </conditionalFormatting>
  <conditionalFormatting sqref="C25:C26">
    <cfRule type="colorScale" priority="58">
      <colorScale>
        <cfvo type="min"/>
        <cfvo type="max"/>
        <color rgb="FFFF0000"/>
        <color rgb="FF92D050"/>
      </colorScale>
    </cfRule>
  </conditionalFormatting>
  <conditionalFormatting sqref="C25:C26">
    <cfRule type="cellIs" dxfId="44" priority="59" operator="equal">
      <formula>"NC"</formula>
    </cfRule>
    <cfRule type="cellIs" dxfId="43" priority="60" operator="equal">
      <formula>"SI"</formula>
    </cfRule>
    <cfRule type="cellIs" dxfId="42" priority="61" operator="equal">
      <formula>"NO"</formula>
    </cfRule>
    <cfRule type="cellIs" dxfId="41" priority="62" operator="equal">
      <formula>"SI"</formula>
    </cfRule>
    <cfRule type="cellIs" dxfId="40" priority="63" operator="equal">
      <formula>"NO"</formula>
    </cfRule>
    <cfRule type="colorScale" priority="64">
      <colorScale>
        <cfvo type="min"/>
        <cfvo type="max"/>
        <color rgb="FFFF7128"/>
        <color rgb="FF92D050"/>
      </colorScale>
    </cfRule>
  </conditionalFormatting>
  <conditionalFormatting sqref="C28:C32">
    <cfRule type="colorScale" priority="50">
      <colorScale>
        <cfvo type="min"/>
        <cfvo type="max"/>
        <color rgb="FFFF0000"/>
        <color rgb="FF92D050"/>
      </colorScale>
    </cfRule>
  </conditionalFormatting>
  <conditionalFormatting sqref="C28:C32">
    <cfRule type="cellIs" dxfId="39" priority="51" operator="equal">
      <formula>"NC"</formula>
    </cfRule>
    <cfRule type="cellIs" dxfId="38" priority="52" operator="equal">
      <formula>"SI"</formula>
    </cfRule>
    <cfRule type="cellIs" dxfId="37" priority="53" operator="equal">
      <formula>"NO"</formula>
    </cfRule>
    <cfRule type="cellIs" dxfId="36" priority="54" operator="equal">
      <formula>"SI"</formula>
    </cfRule>
    <cfRule type="cellIs" dxfId="35" priority="55" operator="equal">
      <formula>"NO"</formula>
    </cfRule>
    <cfRule type="colorScale" priority="56">
      <colorScale>
        <cfvo type="min"/>
        <cfvo type="max"/>
        <color rgb="FFFF7128"/>
        <color rgb="FF92D050"/>
      </colorScale>
    </cfRule>
  </conditionalFormatting>
  <conditionalFormatting sqref="C34:C35">
    <cfRule type="colorScale" priority="42">
      <colorScale>
        <cfvo type="min"/>
        <cfvo type="max"/>
        <color rgb="FFFF0000"/>
        <color rgb="FF92D050"/>
      </colorScale>
    </cfRule>
  </conditionalFormatting>
  <conditionalFormatting sqref="C34:C35">
    <cfRule type="cellIs" dxfId="34" priority="43" operator="equal">
      <formula>"NC"</formula>
    </cfRule>
    <cfRule type="cellIs" dxfId="33" priority="44" operator="equal">
      <formula>"SI"</formula>
    </cfRule>
    <cfRule type="cellIs" dxfId="32" priority="45" operator="equal">
      <formula>"NO"</formula>
    </cfRule>
    <cfRule type="cellIs" dxfId="31" priority="46" operator="equal">
      <formula>"SI"</formula>
    </cfRule>
    <cfRule type="cellIs" dxfId="30" priority="47" operator="equal">
      <formula>"NO"</formula>
    </cfRule>
    <cfRule type="colorScale" priority="48">
      <colorScale>
        <cfvo type="min"/>
        <cfvo type="max"/>
        <color rgb="FFFF7128"/>
        <color rgb="FF92D050"/>
      </colorScale>
    </cfRule>
  </conditionalFormatting>
  <conditionalFormatting sqref="C37:C38">
    <cfRule type="colorScale" priority="34">
      <colorScale>
        <cfvo type="min"/>
        <cfvo type="max"/>
        <color rgb="FFFF0000"/>
        <color rgb="FF92D050"/>
      </colorScale>
    </cfRule>
  </conditionalFormatting>
  <conditionalFormatting sqref="C37:C38">
    <cfRule type="cellIs" dxfId="29" priority="35" operator="equal">
      <formula>"NC"</formula>
    </cfRule>
    <cfRule type="cellIs" dxfId="28" priority="36" operator="equal">
      <formula>"SI"</formula>
    </cfRule>
    <cfRule type="cellIs" dxfId="27" priority="37" operator="equal">
      <formula>"NO"</formula>
    </cfRule>
    <cfRule type="cellIs" dxfId="26" priority="38" operator="equal">
      <formula>"SI"</formula>
    </cfRule>
    <cfRule type="cellIs" dxfId="25" priority="39" operator="equal">
      <formula>"NO"</formula>
    </cfRule>
    <cfRule type="colorScale" priority="40">
      <colorScale>
        <cfvo type="min"/>
        <cfvo type="max"/>
        <color rgb="FFFF7128"/>
        <color rgb="FF92D050"/>
      </colorScale>
    </cfRule>
  </conditionalFormatting>
  <conditionalFormatting sqref="C6">
    <cfRule type="colorScale" priority="76">
      <colorScale>
        <cfvo type="num" val="#N/A"/>
        <cfvo type="num" val="#N/A"/>
        <color rgb="FFFF7128"/>
        <color rgb="FFFFEF9C"/>
      </colorScale>
    </cfRule>
  </conditionalFormatting>
  <conditionalFormatting sqref="C7:C8">
    <cfRule type="colorScale" priority="74">
      <colorScale>
        <cfvo type="num" val="#N/A"/>
        <cfvo type="num" val="#N/A"/>
        <color rgb="FFFF7128"/>
        <color rgb="FFFFEF9C"/>
      </colorScale>
    </cfRule>
  </conditionalFormatting>
  <conditionalFormatting sqref="C10:C13 C15:C16">
    <cfRule type="colorScale" priority="78">
      <colorScale>
        <cfvo type="num" val="#N/A"/>
        <cfvo type="num" val="#N/A"/>
        <color rgb="FFFF7128"/>
        <color rgb="FFFFEF9C"/>
      </colorScale>
    </cfRule>
  </conditionalFormatting>
  <conditionalFormatting sqref="C17:C21 C23:C24">
    <cfRule type="colorScale" priority="65">
      <colorScale>
        <cfvo type="num" val="#N/A"/>
        <cfvo type="num" val="#N/A"/>
        <color rgb="FFFF7128"/>
        <color rgb="FFFFEF9C"/>
      </colorScale>
    </cfRule>
  </conditionalFormatting>
  <conditionalFormatting sqref="C25:C26">
    <cfRule type="colorScale" priority="57">
      <colorScale>
        <cfvo type="num" val="#N/A"/>
        <cfvo type="num" val="#N/A"/>
        <color rgb="FFFF7128"/>
        <color rgb="FFFFEF9C"/>
      </colorScale>
    </cfRule>
  </conditionalFormatting>
  <conditionalFormatting sqref="C28:C32">
    <cfRule type="colorScale" priority="49">
      <colorScale>
        <cfvo type="num" val="#N/A"/>
        <cfvo type="num" val="#N/A"/>
        <color rgb="FFFF7128"/>
        <color rgb="FFFFEF9C"/>
      </colorScale>
    </cfRule>
  </conditionalFormatting>
  <conditionalFormatting sqref="C34:C35">
    <cfRule type="colorScale" priority="41">
      <colorScale>
        <cfvo type="num" val="#N/A"/>
        <cfvo type="num" val="#N/A"/>
        <color rgb="FFFF7128"/>
        <color rgb="FFFFEF9C"/>
      </colorScale>
    </cfRule>
  </conditionalFormatting>
  <conditionalFormatting sqref="C37:C38">
    <cfRule type="colorScale" priority="33">
      <colorScale>
        <cfvo type="num" val="#N/A"/>
        <cfvo type="num" val="#N/A"/>
        <color rgb="FFFF7128"/>
        <color rgb="FFFFEF9C"/>
      </colorScale>
    </cfRule>
  </conditionalFormatting>
  <conditionalFormatting sqref="C6:C8">
    <cfRule type="cellIs" dxfId="24" priority="86" operator="equal">
      <formula>"NC"</formula>
    </cfRule>
    <cfRule type="cellIs" dxfId="23" priority="87" operator="equal">
      <formula>"SI"</formula>
    </cfRule>
    <cfRule type="cellIs" dxfId="22" priority="88" operator="equal">
      <formula>"NO"</formula>
    </cfRule>
    <cfRule type="cellIs" dxfId="21" priority="89" operator="equal">
      <formula>"SI"</formula>
    </cfRule>
    <cfRule type="cellIs" dxfId="20" priority="90" operator="equal">
      <formula>"NO"</formula>
    </cfRule>
    <cfRule type="colorScale" priority="91">
      <colorScale>
        <cfvo type="min"/>
        <cfvo type="max"/>
        <color rgb="FFFF7128"/>
        <color rgb="FF92D050"/>
      </colorScale>
    </cfRule>
  </conditionalFormatting>
  <conditionalFormatting sqref="C42:C44">
    <cfRule type="colorScale" priority="26">
      <colorScale>
        <cfvo type="min"/>
        <cfvo type="max"/>
        <color rgb="FFFF0000"/>
        <color rgb="FF92D050"/>
      </colorScale>
    </cfRule>
  </conditionalFormatting>
  <conditionalFormatting sqref="C42:C44">
    <cfRule type="cellIs" dxfId="19" priority="27" operator="equal">
      <formula>"NC"</formula>
    </cfRule>
    <cfRule type="cellIs" dxfId="18" priority="28" operator="equal">
      <formula>"SI"</formula>
    </cfRule>
    <cfRule type="cellIs" dxfId="17" priority="29" operator="equal">
      <formula>"NO"</formula>
    </cfRule>
    <cfRule type="cellIs" dxfId="16" priority="30" operator="equal">
      <formula>"SI"</formula>
    </cfRule>
    <cfRule type="cellIs" dxfId="15" priority="31" operator="equal">
      <formula>"NO"</formula>
    </cfRule>
    <cfRule type="colorScale" priority="32">
      <colorScale>
        <cfvo type="min"/>
        <cfvo type="max"/>
        <color rgb="FFFF7128"/>
        <color rgb="FF92D050"/>
      </colorScale>
    </cfRule>
  </conditionalFormatting>
  <conditionalFormatting sqref="C42:C44">
    <cfRule type="colorScale" priority="25">
      <colorScale>
        <cfvo type="num" val="#N/A"/>
        <cfvo type="num" val="#N/A"/>
        <color rgb="FFFF7128"/>
        <color rgb="FFFFEF9C"/>
      </colorScale>
    </cfRule>
  </conditionalFormatting>
  <conditionalFormatting sqref="C46:C49">
    <cfRule type="colorScale" priority="18">
      <colorScale>
        <cfvo type="min"/>
        <cfvo type="max"/>
        <color rgb="FFFF0000"/>
        <color rgb="FF92D050"/>
      </colorScale>
    </cfRule>
  </conditionalFormatting>
  <conditionalFormatting sqref="C46:C49">
    <cfRule type="cellIs" dxfId="14" priority="19" operator="equal">
      <formula>"NC"</formula>
    </cfRule>
    <cfRule type="cellIs" dxfId="13" priority="20" operator="equal">
      <formula>"SI"</formula>
    </cfRule>
    <cfRule type="cellIs" dxfId="12" priority="21" operator="equal">
      <formula>"NO"</formula>
    </cfRule>
    <cfRule type="cellIs" dxfId="11" priority="22" operator="equal">
      <formula>"SI"</formula>
    </cfRule>
    <cfRule type="cellIs" dxfId="10" priority="23" operator="equal">
      <formula>"NO"</formula>
    </cfRule>
    <cfRule type="colorScale" priority="24">
      <colorScale>
        <cfvo type="min"/>
        <cfvo type="max"/>
        <color rgb="FFFF7128"/>
        <color rgb="FF92D050"/>
      </colorScale>
    </cfRule>
  </conditionalFormatting>
  <conditionalFormatting sqref="C46:C49">
    <cfRule type="colorScale" priority="17">
      <colorScale>
        <cfvo type="num" val="#N/A"/>
        <cfvo type="num" val="#N/A"/>
        <color rgb="FFFF7128"/>
        <color rgb="FFFFEF9C"/>
      </colorScale>
    </cfRule>
  </conditionalFormatting>
  <conditionalFormatting sqref="C51:C54">
    <cfRule type="colorScale" priority="10">
      <colorScale>
        <cfvo type="min"/>
        <cfvo type="max"/>
        <color rgb="FFFF0000"/>
        <color rgb="FF92D050"/>
      </colorScale>
    </cfRule>
  </conditionalFormatting>
  <conditionalFormatting sqref="C51:C54">
    <cfRule type="cellIs" dxfId="9" priority="11" operator="equal">
      <formula>"NC"</formula>
    </cfRule>
    <cfRule type="cellIs" dxfId="8" priority="12" operator="equal">
      <formula>"SI"</formula>
    </cfRule>
    <cfRule type="cellIs" dxfId="7" priority="13" operator="equal">
      <formula>"NO"</formula>
    </cfRule>
    <cfRule type="cellIs" dxfId="6" priority="14" operator="equal">
      <formula>"SI"</formula>
    </cfRule>
    <cfRule type="cellIs" dxfId="5" priority="15" operator="equal">
      <formula>"NO"</formula>
    </cfRule>
    <cfRule type="colorScale" priority="16">
      <colorScale>
        <cfvo type="min"/>
        <cfvo type="max"/>
        <color rgb="FFFF7128"/>
        <color rgb="FF92D050"/>
      </colorScale>
    </cfRule>
  </conditionalFormatting>
  <conditionalFormatting sqref="C51:C54">
    <cfRule type="colorScale" priority="9">
      <colorScale>
        <cfvo type="num" val="#N/A"/>
        <cfvo type="num" val="#N/A"/>
        <color rgb="FFFF7128"/>
        <color rgb="FFFFEF9C"/>
      </colorScale>
    </cfRule>
  </conditionalFormatting>
  <conditionalFormatting sqref="C40">
    <cfRule type="colorScale" priority="2">
      <colorScale>
        <cfvo type="min"/>
        <cfvo type="max"/>
        <color rgb="FFFF0000"/>
        <color rgb="FF92D050"/>
      </colorScale>
    </cfRule>
  </conditionalFormatting>
  <conditionalFormatting sqref="C40">
    <cfRule type="cellIs" dxfId="4" priority="3" operator="equal">
      <formula>"NC"</formula>
    </cfRule>
    <cfRule type="cellIs" dxfId="3" priority="4" operator="equal">
      <formula>"SI"</formula>
    </cfRule>
    <cfRule type="cellIs" dxfId="2" priority="5" operator="equal">
      <formula>"NO"</formula>
    </cfRule>
    <cfRule type="cellIs" dxfId="1" priority="6" operator="equal">
      <formula>"SI"</formula>
    </cfRule>
    <cfRule type="cellIs" dxfId="0" priority="7" operator="equal">
      <formula>"NO"</formula>
    </cfRule>
    <cfRule type="colorScale" priority="8">
      <colorScale>
        <cfvo type="min"/>
        <cfvo type="max"/>
        <color rgb="FFFF7128"/>
        <color rgb="FF92D050"/>
      </colorScale>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B1:M21"/>
  <sheetViews>
    <sheetView topLeftCell="B13" workbookViewId="0">
      <selection activeCell="F26" sqref="F26"/>
    </sheetView>
  </sheetViews>
  <sheetFormatPr baseColWidth="10" defaultColWidth="10" defaultRowHeight="15.75" x14ac:dyDescent="0.25"/>
  <cols>
    <col min="1" max="1" width="23.125" style="4" customWidth="1"/>
    <col min="2" max="2" width="34.75" style="4" customWidth="1"/>
    <col min="3" max="3" width="10.375" style="4" customWidth="1"/>
    <col min="4" max="4" width="9.875" style="4" customWidth="1"/>
    <col min="5" max="5" width="10" style="4" customWidth="1"/>
    <col min="6" max="6" width="10" style="4"/>
    <col min="7" max="7" width="14.625" style="4" customWidth="1"/>
    <col min="8" max="8" width="14.25" style="4" customWidth="1"/>
    <col min="9" max="16384" width="10" style="4"/>
  </cols>
  <sheetData>
    <row r="1" spans="2:13" ht="16.5" thickBot="1" x14ac:dyDescent="0.3">
      <c r="I1" s="122" t="s">
        <v>50</v>
      </c>
      <c r="J1" s="123"/>
      <c r="K1" s="123"/>
    </row>
    <row r="2" spans="2:13" ht="17.25" thickTop="1" thickBot="1" x14ac:dyDescent="0.3">
      <c r="B2" s="43" t="s">
        <v>51</v>
      </c>
      <c r="C2" s="43" t="s">
        <v>52</v>
      </c>
      <c r="D2" s="43" t="s">
        <v>53</v>
      </c>
      <c r="E2" s="43" t="s">
        <v>54</v>
      </c>
      <c r="F2" s="43" t="s">
        <v>55</v>
      </c>
      <c r="G2" s="43" t="s">
        <v>56</v>
      </c>
      <c r="H2" s="44" t="s">
        <v>57</v>
      </c>
      <c r="I2" s="45">
        <v>1</v>
      </c>
      <c r="J2" s="46">
        <v>2</v>
      </c>
      <c r="K2" s="47">
        <v>3</v>
      </c>
      <c r="L2" s="48" t="s">
        <v>55</v>
      </c>
      <c r="M2" s="49" t="s">
        <v>58</v>
      </c>
    </row>
    <row r="3" spans="2:13" ht="16.5" thickTop="1" x14ac:dyDescent="0.25">
      <c r="B3" s="50" t="s">
        <v>59</v>
      </c>
      <c r="C3" s="51">
        <v>0</v>
      </c>
      <c r="D3" s="51">
        <v>3</v>
      </c>
      <c r="E3" s="51">
        <v>0</v>
      </c>
      <c r="F3" s="51">
        <v>3</v>
      </c>
      <c r="G3" s="52">
        <f>IF(H3=0,"NC",+C3/H3)</f>
        <v>0</v>
      </c>
      <c r="H3" s="53">
        <f>+F3-E3</f>
        <v>3</v>
      </c>
      <c r="I3" s="54">
        <v>2</v>
      </c>
      <c r="J3" s="51">
        <v>1</v>
      </c>
      <c r="K3" s="51">
        <v>0</v>
      </c>
      <c r="L3" s="48">
        <f>+I3+J3+K3</f>
        <v>3</v>
      </c>
    </row>
    <row r="4" spans="2:13" x14ac:dyDescent="0.25">
      <c r="B4" s="55" t="s">
        <v>70</v>
      </c>
      <c r="C4" s="56">
        <v>0</v>
      </c>
      <c r="D4" s="56">
        <v>4</v>
      </c>
      <c r="E4" s="56">
        <v>0</v>
      </c>
      <c r="F4" s="56">
        <v>4</v>
      </c>
      <c r="G4" s="57">
        <f t="shared" ref="G4:G11" si="0">IF(H4=0,"NC",+C4/H4)</f>
        <v>0</v>
      </c>
      <c r="H4" s="53">
        <f>+F4-E4</f>
        <v>4</v>
      </c>
      <c r="I4" s="58">
        <v>2</v>
      </c>
      <c r="J4" s="56">
        <v>2</v>
      </c>
      <c r="K4" s="56">
        <v>0</v>
      </c>
      <c r="L4" s="48">
        <f t="shared" ref="L4:L14" si="1">+I4+J4+K4</f>
        <v>4</v>
      </c>
    </row>
    <row r="5" spans="2:13" x14ac:dyDescent="0.25">
      <c r="B5" s="55" t="s">
        <v>71</v>
      </c>
      <c r="C5" s="56">
        <v>0</v>
      </c>
      <c r="D5" s="56">
        <v>7</v>
      </c>
      <c r="E5" s="56">
        <v>0</v>
      </c>
      <c r="F5" s="56">
        <v>7</v>
      </c>
      <c r="G5" s="57">
        <f t="shared" si="0"/>
        <v>0</v>
      </c>
      <c r="H5" s="53">
        <f t="shared" ref="H5:H13" si="2">+F5-E5</f>
        <v>7</v>
      </c>
      <c r="I5" s="58">
        <v>7</v>
      </c>
      <c r="J5" s="56">
        <v>0</v>
      </c>
      <c r="K5" s="56">
        <v>0</v>
      </c>
      <c r="L5" s="48">
        <f t="shared" si="1"/>
        <v>7</v>
      </c>
    </row>
    <row r="6" spans="2:13" x14ac:dyDescent="0.25">
      <c r="B6" s="55" t="s">
        <v>72</v>
      </c>
      <c r="C6" s="56">
        <v>0</v>
      </c>
      <c r="D6" s="56">
        <v>4</v>
      </c>
      <c r="E6" s="56">
        <v>0</v>
      </c>
      <c r="F6" s="56">
        <v>4</v>
      </c>
      <c r="G6" s="57">
        <f t="shared" si="0"/>
        <v>0</v>
      </c>
      <c r="H6" s="53">
        <f t="shared" si="2"/>
        <v>4</v>
      </c>
      <c r="I6" s="58">
        <v>1</v>
      </c>
      <c r="J6" s="56">
        <v>3</v>
      </c>
      <c r="K6" s="56">
        <v>0</v>
      </c>
      <c r="L6" s="48">
        <f t="shared" si="1"/>
        <v>4</v>
      </c>
    </row>
    <row r="7" spans="2:13" x14ac:dyDescent="0.25">
      <c r="B7" s="55" t="s">
        <v>60</v>
      </c>
      <c r="C7" s="56">
        <v>0</v>
      </c>
      <c r="D7" s="56">
        <v>5</v>
      </c>
      <c r="E7" s="56">
        <v>0</v>
      </c>
      <c r="F7" s="56">
        <v>5</v>
      </c>
      <c r="G7" s="57">
        <f t="shared" si="0"/>
        <v>0</v>
      </c>
      <c r="H7" s="53">
        <f t="shared" si="2"/>
        <v>5</v>
      </c>
      <c r="I7" s="58">
        <v>4</v>
      </c>
      <c r="J7" s="56">
        <v>1</v>
      </c>
      <c r="K7" s="56">
        <v>0</v>
      </c>
      <c r="L7" s="48">
        <f t="shared" si="1"/>
        <v>5</v>
      </c>
    </row>
    <row r="8" spans="2:13" x14ac:dyDescent="0.25">
      <c r="B8" s="55" t="s">
        <v>73</v>
      </c>
      <c r="C8" s="56">
        <v>0</v>
      </c>
      <c r="D8" s="56">
        <v>2</v>
      </c>
      <c r="E8" s="56">
        <v>0</v>
      </c>
      <c r="F8" s="56">
        <v>2</v>
      </c>
      <c r="G8" s="57">
        <f t="shared" si="0"/>
        <v>0</v>
      </c>
      <c r="H8" s="53">
        <f t="shared" si="2"/>
        <v>2</v>
      </c>
      <c r="I8" s="58">
        <v>0</v>
      </c>
      <c r="J8" s="58">
        <v>2</v>
      </c>
      <c r="K8" s="56">
        <v>0</v>
      </c>
      <c r="L8" s="48">
        <f t="shared" si="1"/>
        <v>2</v>
      </c>
    </row>
    <row r="9" spans="2:13" x14ac:dyDescent="0.25">
      <c r="B9" s="55" t="s">
        <v>78</v>
      </c>
      <c r="C9" s="56">
        <v>0</v>
      </c>
      <c r="D9" s="56">
        <v>2</v>
      </c>
      <c r="E9" s="56">
        <v>0</v>
      </c>
      <c r="F9" s="56">
        <v>2</v>
      </c>
      <c r="G9" s="57">
        <f t="shared" si="0"/>
        <v>0</v>
      </c>
      <c r="H9" s="53">
        <f t="shared" si="2"/>
        <v>2</v>
      </c>
      <c r="I9" s="58">
        <v>0</v>
      </c>
      <c r="J9" s="58">
        <v>2</v>
      </c>
      <c r="K9" s="56">
        <v>0</v>
      </c>
      <c r="L9" s="48"/>
    </row>
    <row r="10" spans="2:13" x14ac:dyDescent="0.25">
      <c r="B10" s="55" t="s">
        <v>79</v>
      </c>
      <c r="C10" s="56">
        <v>0</v>
      </c>
      <c r="D10" s="56">
        <v>1</v>
      </c>
      <c r="E10" s="56">
        <v>0</v>
      </c>
      <c r="F10" s="56">
        <v>1</v>
      </c>
      <c r="G10" s="57">
        <f t="shared" si="0"/>
        <v>0</v>
      </c>
      <c r="H10" s="53">
        <f t="shared" si="2"/>
        <v>1</v>
      </c>
      <c r="I10" s="58">
        <v>0</v>
      </c>
      <c r="J10" s="58">
        <v>1</v>
      </c>
      <c r="K10" s="56">
        <v>0</v>
      </c>
      <c r="L10" s="48"/>
    </row>
    <row r="11" spans="2:13" x14ac:dyDescent="0.25">
      <c r="B11" s="55" t="s">
        <v>80</v>
      </c>
      <c r="C11" s="56">
        <v>1</v>
      </c>
      <c r="D11" s="56">
        <v>2</v>
      </c>
      <c r="E11" s="56">
        <v>0</v>
      </c>
      <c r="F11" s="56">
        <v>3</v>
      </c>
      <c r="G11" s="57">
        <f t="shared" si="0"/>
        <v>0.33333333333333331</v>
      </c>
      <c r="H11" s="53">
        <f t="shared" si="2"/>
        <v>3</v>
      </c>
      <c r="I11" s="58">
        <v>2</v>
      </c>
      <c r="J11" s="58">
        <v>0</v>
      </c>
      <c r="K11" s="56">
        <v>0</v>
      </c>
      <c r="L11" s="48"/>
    </row>
    <row r="12" spans="2:13" x14ac:dyDescent="0.25">
      <c r="B12" s="55" t="s">
        <v>81</v>
      </c>
      <c r="C12" s="56">
        <v>0</v>
      </c>
      <c r="D12" s="56">
        <v>4</v>
      </c>
      <c r="E12" s="56">
        <v>0</v>
      </c>
      <c r="F12" s="56">
        <v>4</v>
      </c>
      <c r="G12" s="57"/>
      <c r="H12" s="53">
        <f t="shared" si="2"/>
        <v>4</v>
      </c>
      <c r="I12" s="58">
        <v>4</v>
      </c>
      <c r="J12" s="58">
        <v>0</v>
      </c>
      <c r="K12" s="56">
        <v>0</v>
      </c>
      <c r="L12" s="48"/>
    </row>
    <row r="13" spans="2:13" ht="16.5" thickBot="1" x14ac:dyDescent="0.3">
      <c r="B13" s="59" t="s">
        <v>82</v>
      </c>
      <c r="C13" s="56">
        <v>2</v>
      </c>
      <c r="D13" s="56">
        <v>2</v>
      </c>
      <c r="E13" s="56">
        <v>0</v>
      </c>
      <c r="F13" s="56">
        <v>4</v>
      </c>
      <c r="G13" s="57"/>
      <c r="H13" s="53">
        <f t="shared" si="2"/>
        <v>4</v>
      </c>
      <c r="I13" s="58">
        <v>2</v>
      </c>
      <c r="J13" s="58">
        <v>0</v>
      </c>
      <c r="K13" s="60">
        <v>0</v>
      </c>
      <c r="L13" s="48">
        <f t="shared" si="1"/>
        <v>2</v>
      </c>
    </row>
    <row r="14" spans="2:13" ht="17.25" thickTop="1" thickBot="1" x14ac:dyDescent="0.3">
      <c r="B14" s="1" t="s">
        <v>61</v>
      </c>
      <c r="C14" s="61">
        <f>+SUM(C3:C13)</f>
        <v>3</v>
      </c>
      <c r="D14" s="61">
        <f>+SUM(D3:D13)</f>
        <v>36</v>
      </c>
      <c r="E14" s="61">
        <f>+SUM(E3:E13)</f>
        <v>0</v>
      </c>
      <c r="F14" s="61">
        <v>39</v>
      </c>
      <c r="G14" s="62">
        <f>+C14/F14</f>
        <v>7.6923076923076927E-2</v>
      </c>
      <c r="H14" s="63">
        <f>+SUM(H3:H13)</f>
        <v>39</v>
      </c>
      <c r="I14" s="63">
        <f>+SUM(I3:I13)</f>
        <v>24</v>
      </c>
      <c r="J14" s="63">
        <f>+SUM(J3:J13)</f>
        <v>12</v>
      </c>
      <c r="K14" s="63">
        <f>+SUM(K3:K13)</f>
        <v>0</v>
      </c>
      <c r="L14" s="48">
        <f t="shared" si="1"/>
        <v>36</v>
      </c>
    </row>
    <row r="15" spans="2:13" ht="16.5" thickTop="1" x14ac:dyDescent="0.25"/>
    <row r="16" spans="2:13" x14ac:dyDescent="0.25">
      <c r="B16" s="4" t="s">
        <v>29</v>
      </c>
      <c r="H16" s="49" t="s">
        <v>62</v>
      </c>
      <c r="I16" s="48">
        <v>25</v>
      </c>
      <c r="J16" s="48">
        <v>14</v>
      </c>
      <c r="K16" s="48">
        <v>0</v>
      </c>
      <c r="L16" s="48">
        <f>+SUM(I16:K16)</f>
        <v>39</v>
      </c>
    </row>
    <row r="17" spans="8:13" x14ac:dyDescent="0.25">
      <c r="H17" s="49" t="s">
        <v>63</v>
      </c>
      <c r="I17" s="48">
        <v>0</v>
      </c>
      <c r="J17" s="48">
        <v>0</v>
      </c>
      <c r="K17" s="48">
        <v>0</v>
      </c>
    </row>
    <row r="18" spans="8:13" x14ac:dyDescent="0.25">
      <c r="H18" s="49" t="s">
        <v>64</v>
      </c>
      <c r="I18" s="64">
        <f>1-I14/(I16-I17)</f>
        <v>4.0000000000000036E-2</v>
      </c>
      <c r="J18" s="64">
        <f>1-J14/(J16-J17)</f>
        <v>0.1428571428571429</v>
      </c>
      <c r="K18" s="64" t="e">
        <f>1-K14/K16</f>
        <v>#DIV/0!</v>
      </c>
      <c r="L18" s="4">
        <f>10/29</f>
        <v>0.34482758620689657</v>
      </c>
    </row>
    <row r="19" spans="8:13" x14ac:dyDescent="0.25">
      <c r="I19" s="49" t="s">
        <v>65</v>
      </c>
      <c r="J19" s="49" t="s">
        <v>66</v>
      </c>
      <c r="K19" s="49" t="s">
        <v>67</v>
      </c>
      <c r="M19" s="49"/>
    </row>
    <row r="20" spans="8:13" x14ac:dyDescent="0.25">
      <c r="H20" s="49" t="s">
        <v>68</v>
      </c>
      <c r="I20" s="4">
        <f>+D14</f>
        <v>36</v>
      </c>
    </row>
    <row r="21" spans="8:13" x14ac:dyDescent="0.25">
      <c r="H21" s="65" t="s">
        <v>69</v>
      </c>
      <c r="I21" s="66" t="str">
        <f>+IF(OR(I18&lt;1,J18&lt;0.5),"Alto",+IF(OR(AND(J18&lt;1,J18&gt;=0.5),K18&lt;0.5),"medio","bajo"))</f>
        <v>Alto</v>
      </c>
    </row>
  </sheetData>
  <mergeCells count="1">
    <mergeCell ref="I1:K1"/>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Orden xmlns="b596f66d-9fcd-47c4-9e6e-6dd40f45329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3531D39CBC02DC4BA1ABB2F1336AE2C1" ma:contentTypeVersion="1" ma:contentTypeDescription="Crear nuevo documento." ma:contentTypeScope="" ma:versionID="d50f64fbd96db9164dc6487aa1ce8ae3">
  <xsd:schema xmlns:xsd="http://www.w3.org/2001/XMLSchema" xmlns:xs="http://www.w3.org/2001/XMLSchema" xmlns:p="http://schemas.microsoft.com/office/2006/metadata/properties" xmlns:ns2="b596f66d-9fcd-47c4-9e6e-6dd40f45329f" targetNamespace="http://schemas.microsoft.com/office/2006/metadata/properties" ma:root="true" ma:fieldsID="d4e802a798b312ab0ff1118b1282b90a" ns2:_="">
    <xsd:import namespace="b596f66d-9fcd-47c4-9e6e-6dd40f45329f"/>
    <xsd:element name="properties">
      <xsd:complexType>
        <xsd:sequence>
          <xsd:element name="documentManagement">
            <xsd:complexType>
              <xsd:all>
                <xsd:element ref="ns2:Ord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96f66d-9fcd-47c4-9e6e-6dd40f45329f" elementFormDefault="qualified">
    <xsd:import namespace="http://schemas.microsoft.com/office/2006/documentManagement/types"/>
    <xsd:import namespace="http://schemas.microsoft.com/office/infopath/2007/PartnerControls"/>
    <xsd:element name="Orden" ma:index="8" nillable="true" ma:displayName="Orden" ma:internalName="Orden">
      <xsd:simpleType>
        <xsd:restriction base="dms:Number"/>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B9B822C-88E5-496C-BE70-4C0896B3FA3C}">
  <ds:schemaRefs>
    <ds:schemaRef ds:uri="http://schemas.microsoft.com/sharepoint/v3/contenttype/forms"/>
  </ds:schemaRefs>
</ds:datastoreItem>
</file>

<file path=customXml/itemProps2.xml><?xml version="1.0" encoding="utf-8"?>
<ds:datastoreItem xmlns:ds="http://schemas.openxmlformats.org/officeDocument/2006/customXml" ds:itemID="{6A8C05D2-259A-4B92-BCCF-EF5F462242DE}">
  <ds:schemaRefs>
    <ds:schemaRef ds:uri="http://purl.org/dc/elements/1.1/"/>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purl.org/dc/terms/"/>
    <ds:schemaRef ds:uri="b596f66d-9fcd-47c4-9e6e-6dd40f45329f"/>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C12F8964-B3D2-48D6-B1DB-C585897D41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96f66d-9fcd-47c4-9e6e-6dd40f45329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LISTA DE VERIFICACION</vt:lpstr>
      <vt:lpstr>Recomendaciones</vt:lpstr>
      <vt:lpstr>CopiaLV</vt:lpstr>
      <vt:lpstr>Grafico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Zuñiga, Romulo</dc:creator>
  <cp:lastModifiedBy>Ginsoporte</cp:lastModifiedBy>
  <dcterms:created xsi:type="dcterms:W3CDTF">2014-10-29T16:55:08Z</dcterms:created>
  <dcterms:modified xsi:type="dcterms:W3CDTF">2018-07-23T20:16:21Z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0x0101003531D39CBC02DC4BA1ABB2F1336AE2C1</vt:lpwstr>
  </property>
</Properties>
</file>